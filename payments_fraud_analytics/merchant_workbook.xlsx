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s" sheetId="1" state="visible" r:id="rId1"/>
    <sheet name="Fee_Tiers" sheetId="2" state="visible" r:id="rId2"/>
    <sheet name="Transactions_View" sheetId="3" state="visible" r:id="rId3"/>
    <sheet name="Classification_Rules" sheetId="4" state="visible" r:id="rId4"/>
    <sheet name="Pivot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i val="1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region</t>
        </is>
      </c>
    </row>
    <row r="2">
      <c r="A2" s="2" t="n">
        <v>1</v>
      </c>
      <c r="B2" s="2" t="inlineStr">
        <is>
          <t>Merchant_001</t>
        </is>
      </c>
      <c r="C2" s="2" t="inlineStr">
        <is>
          <t>ecommerce</t>
        </is>
      </c>
      <c r="D2" s="2" t="inlineStr">
        <is>
          <t>South</t>
        </is>
      </c>
    </row>
    <row r="3">
      <c r="A3" s="2" t="n">
        <v>2</v>
      </c>
      <c r="B3" s="2" t="inlineStr">
        <is>
          <t>Merchant_002</t>
        </is>
      </c>
      <c r="C3" s="2" t="inlineStr">
        <is>
          <t>grocery</t>
        </is>
      </c>
      <c r="D3" s="2" t="inlineStr">
        <is>
          <t>West</t>
        </is>
      </c>
    </row>
    <row r="4">
      <c r="A4" s="2" t="n">
        <v>3</v>
      </c>
      <c r="B4" s="2" t="inlineStr">
        <is>
          <t>Merchant_003</t>
        </is>
      </c>
      <c r="C4" s="2" t="inlineStr">
        <is>
          <t>grocery</t>
        </is>
      </c>
      <c r="D4" s="2" t="inlineStr">
        <is>
          <t>East</t>
        </is>
      </c>
    </row>
    <row r="5">
      <c r="A5" s="2" t="n">
        <v>4</v>
      </c>
      <c r="B5" s="2" t="inlineStr">
        <is>
          <t>Merchant_004</t>
        </is>
      </c>
      <c r="C5" s="2" t="inlineStr">
        <is>
          <t>ecommerce</t>
        </is>
      </c>
      <c r="D5" s="2" t="inlineStr">
        <is>
          <t>East</t>
        </is>
      </c>
    </row>
    <row r="6">
      <c r="A6" s="2" t="n">
        <v>5</v>
      </c>
      <c r="B6" s="2" t="inlineStr">
        <is>
          <t>Merchant_005</t>
        </is>
      </c>
      <c r="C6" s="2" t="inlineStr">
        <is>
          <t>recharge</t>
        </is>
      </c>
      <c r="D6" s="2" t="inlineStr">
        <is>
          <t>South</t>
        </is>
      </c>
    </row>
    <row r="7">
      <c r="A7" s="2" t="n">
        <v>6</v>
      </c>
      <c r="B7" s="2" t="inlineStr">
        <is>
          <t>Merchant_006</t>
        </is>
      </c>
      <c r="C7" s="2" t="inlineStr">
        <is>
          <t>food_delivery</t>
        </is>
      </c>
      <c r="D7" s="2" t="inlineStr">
        <is>
          <t>South</t>
        </is>
      </c>
    </row>
    <row r="8">
      <c r="A8" s="2" t="n">
        <v>7</v>
      </c>
      <c r="B8" s="2" t="inlineStr">
        <is>
          <t>Merchant_007</t>
        </is>
      </c>
      <c r="C8" s="2" t="inlineStr">
        <is>
          <t>food_delivery</t>
        </is>
      </c>
      <c r="D8" s="2" t="inlineStr">
        <is>
          <t>East</t>
        </is>
      </c>
    </row>
    <row r="9">
      <c r="A9" s="2" t="n">
        <v>8</v>
      </c>
      <c r="B9" s="2" t="inlineStr">
        <is>
          <t>Merchant_008</t>
        </is>
      </c>
      <c r="C9" s="2" t="inlineStr">
        <is>
          <t>food_delivery</t>
        </is>
      </c>
      <c r="D9" s="2" t="inlineStr">
        <is>
          <t>North</t>
        </is>
      </c>
    </row>
    <row r="10">
      <c r="A10" s="2" t="n">
        <v>9</v>
      </c>
      <c r="B10" s="2" t="inlineStr">
        <is>
          <t>Merchant_009</t>
        </is>
      </c>
      <c r="C10" s="2" t="inlineStr">
        <is>
          <t>ecommerce</t>
        </is>
      </c>
      <c r="D10" s="2" t="inlineStr">
        <is>
          <t>North</t>
        </is>
      </c>
    </row>
    <row r="11">
      <c r="A11" s="2" t="n">
        <v>10</v>
      </c>
      <c r="B11" s="2" t="inlineStr">
        <is>
          <t>Merchant_010</t>
        </is>
      </c>
      <c r="C11" s="2" t="inlineStr">
        <is>
          <t>grocery</t>
        </is>
      </c>
      <c r="D11" s="2" t="inlineStr">
        <is>
          <t>West</t>
        </is>
      </c>
    </row>
    <row r="12">
      <c r="A12" s="2" t="n">
        <v>11</v>
      </c>
      <c r="B12" s="2" t="inlineStr">
        <is>
          <t>Merchant_011</t>
        </is>
      </c>
      <c r="C12" s="2" t="inlineStr">
        <is>
          <t>ecommerce</t>
        </is>
      </c>
      <c r="D12" s="2" t="inlineStr">
        <is>
          <t>North</t>
        </is>
      </c>
    </row>
    <row r="13">
      <c r="A13" s="2" t="n">
        <v>12</v>
      </c>
      <c r="B13" s="2" t="inlineStr">
        <is>
          <t>Merchant_012</t>
        </is>
      </c>
      <c r="C13" s="2" t="inlineStr">
        <is>
          <t>ecommerce</t>
        </is>
      </c>
      <c r="D13" s="2" t="inlineStr">
        <is>
          <t>East</t>
        </is>
      </c>
    </row>
    <row r="14">
      <c r="A14" s="2" t="n">
        <v>13</v>
      </c>
      <c r="B14" s="2" t="inlineStr">
        <is>
          <t>Merchant_013</t>
        </is>
      </c>
      <c r="C14" s="2" t="inlineStr">
        <is>
          <t>travel</t>
        </is>
      </c>
      <c r="D14" s="2" t="inlineStr">
        <is>
          <t>East</t>
        </is>
      </c>
    </row>
    <row r="15">
      <c r="A15" s="2" t="n">
        <v>14</v>
      </c>
      <c r="B15" s="2" t="inlineStr">
        <is>
          <t>Merchant_014</t>
        </is>
      </c>
      <c r="C15" s="2" t="inlineStr">
        <is>
          <t>grocery</t>
        </is>
      </c>
      <c r="D15" s="2" t="inlineStr">
        <is>
          <t>East</t>
        </is>
      </c>
    </row>
    <row r="16">
      <c r="A16" s="2" t="n">
        <v>15</v>
      </c>
      <c r="B16" s="2" t="inlineStr">
        <is>
          <t>Merchant_015</t>
        </is>
      </c>
      <c r="C16" s="2" t="inlineStr">
        <is>
          <t>travel</t>
        </is>
      </c>
      <c r="D16" s="2" t="inlineStr">
        <is>
          <t>North</t>
        </is>
      </c>
    </row>
    <row r="17">
      <c r="A17" s="2" t="n">
        <v>16</v>
      </c>
      <c r="B17" s="2" t="inlineStr">
        <is>
          <t>Merchant_016</t>
        </is>
      </c>
      <c r="C17" s="2" t="inlineStr">
        <is>
          <t>bill_payment</t>
        </is>
      </c>
      <c r="D17" s="2" t="inlineStr">
        <is>
          <t>West</t>
        </is>
      </c>
    </row>
    <row r="18">
      <c r="A18" s="2" t="n">
        <v>17</v>
      </c>
      <c r="B18" s="2" t="inlineStr">
        <is>
          <t>Merchant_017</t>
        </is>
      </c>
      <c r="C18" s="2" t="inlineStr">
        <is>
          <t>grocery</t>
        </is>
      </c>
      <c r="D18" s="2" t="inlineStr">
        <is>
          <t>North</t>
        </is>
      </c>
    </row>
    <row r="19">
      <c r="A19" s="2" t="n">
        <v>18</v>
      </c>
      <c r="B19" s="2" t="inlineStr">
        <is>
          <t>Merchant_018</t>
        </is>
      </c>
      <c r="C19" s="2" t="inlineStr">
        <is>
          <t>grocery</t>
        </is>
      </c>
      <c r="D19" s="2" t="inlineStr">
        <is>
          <t>West</t>
        </is>
      </c>
    </row>
    <row r="20">
      <c r="A20" s="2" t="n">
        <v>19</v>
      </c>
      <c r="B20" s="2" t="inlineStr">
        <is>
          <t>Merchant_019</t>
        </is>
      </c>
      <c r="C20" s="2" t="inlineStr">
        <is>
          <t>grocery</t>
        </is>
      </c>
      <c r="D20" s="2" t="inlineStr">
        <is>
          <t>North</t>
        </is>
      </c>
    </row>
    <row r="21">
      <c r="A21" s="2" t="n">
        <v>20</v>
      </c>
      <c r="B21" s="2" t="inlineStr">
        <is>
          <t>Merchant_020</t>
        </is>
      </c>
      <c r="C21" s="2" t="inlineStr">
        <is>
          <t>food_delivery</t>
        </is>
      </c>
      <c r="D21" s="2" t="inlineStr">
        <is>
          <t>East</t>
        </is>
      </c>
    </row>
    <row r="22">
      <c r="A22" s="2" t="n">
        <v>21</v>
      </c>
      <c r="B22" s="2" t="inlineStr">
        <is>
          <t>Merchant_021</t>
        </is>
      </c>
      <c r="C22" s="2" t="inlineStr">
        <is>
          <t>food_delivery</t>
        </is>
      </c>
      <c r="D22" s="2" t="inlineStr">
        <is>
          <t>East</t>
        </is>
      </c>
    </row>
    <row r="23">
      <c r="A23" s="2" t="n">
        <v>22</v>
      </c>
      <c r="B23" s="2" t="inlineStr">
        <is>
          <t>Merchant_022</t>
        </is>
      </c>
      <c r="C23" s="2" t="inlineStr">
        <is>
          <t>travel</t>
        </is>
      </c>
      <c r="D23" s="2" t="inlineStr">
        <is>
          <t>South</t>
        </is>
      </c>
    </row>
    <row r="24">
      <c r="A24" s="2" t="n">
        <v>23</v>
      </c>
      <c r="B24" s="2" t="inlineStr">
        <is>
          <t>Merchant_023</t>
        </is>
      </c>
      <c r="C24" s="2" t="inlineStr">
        <is>
          <t>travel</t>
        </is>
      </c>
      <c r="D24" s="2" t="inlineStr">
        <is>
          <t>North</t>
        </is>
      </c>
    </row>
    <row r="25">
      <c r="A25" s="2" t="n">
        <v>24</v>
      </c>
      <c r="B25" s="2" t="inlineStr">
        <is>
          <t>Merchant_024</t>
        </is>
      </c>
      <c r="C25" s="2" t="inlineStr">
        <is>
          <t>grocery</t>
        </is>
      </c>
      <c r="D25" s="2" t="inlineStr">
        <is>
          <t>North</t>
        </is>
      </c>
    </row>
    <row r="26">
      <c r="A26" s="2" t="n">
        <v>25</v>
      </c>
      <c r="B26" s="2" t="inlineStr">
        <is>
          <t>Merchant_025</t>
        </is>
      </c>
      <c r="C26" s="2" t="inlineStr">
        <is>
          <t>travel</t>
        </is>
      </c>
      <c r="D26" s="2" t="inlineStr">
        <is>
          <t>South</t>
        </is>
      </c>
    </row>
    <row r="27">
      <c r="A27" s="2" t="n">
        <v>26</v>
      </c>
      <c r="B27" s="2" t="inlineStr">
        <is>
          <t>Merchant_026</t>
        </is>
      </c>
      <c r="C27" s="2" t="inlineStr">
        <is>
          <t>food_delivery</t>
        </is>
      </c>
      <c r="D27" s="2" t="inlineStr">
        <is>
          <t>East</t>
        </is>
      </c>
    </row>
    <row r="28">
      <c r="A28" s="2" t="n">
        <v>27</v>
      </c>
      <c r="B28" s="2" t="inlineStr">
        <is>
          <t>Merchant_027</t>
        </is>
      </c>
      <c r="C28" s="2" t="inlineStr">
        <is>
          <t>ecommerce</t>
        </is>
      </c>
      <c r="D28" s="2" t="inlineStr">
        <is>
          <t>North</t>
        </is>
      </c>
    </row>
    <row r="29">
      <c r="A29" s="2" t="n">
        <v>28</v>
      </c>
      <c r="B29" s="2" t="inlineStr">
        <is>
          <t>Merchant_028</t>
        </is>
      </c>
      <c r="C29" s="2" t="inlineStr">
        <is>
          <t>ecommerce</t>
        </is>
      </c>
      <c r="D29" s="2" t="inlineStr">
        <is>
          <t>South</t>
        </is>
      </c>
    </row>
    <row r="30">
      <c r="A30" s="2" t="n">
        <v>29</v>
      </c>
      <c r="B30" s="2" t="inlineStr">
        <is>
          <t>Merchant_029</t>
        </is>
      </c>
      <c r="C30" s="2" t="inlineStr">
        <is>
          <t>ecommerce</t>
        </is>
      </c>
      <c r="D30" s="2" t="inlineStr">
        <is>
          <t>North</t>
        </is>
      </c>
    </row>
    <row r="31">
      <c r="A31" s="2" t="n">
        <v>30</v>
      </c>
      <c r="B31" s="2" t="inlineStr">
        <is>
          <t>Merchant_030</t>
        </is>
      </c>
      <c r="C31" s="2" t="inlineStr">
        <is>
          <t>travel</t>
        </is>
      </c>
      <c r="D31" s="2" t="inlineStr">
        <is>
          <t>West</t>
        </is>
      </c>
    </row>
    <row r="32">
      <c r="A32" s="2" t="n">
        <v>31</v>
      </c>
      <c r="B32" s="2" t="inlineStr">
        <is>
          <t>Merchant_031</t>
        </is>
      </c>
      <c r="C32" s="2" t="inlineStr">
        <is>
          <t>bill_payment</t>
        </is>
      </c>
      <c r="D32" s="2" t="inlineStr">
        <is>
          <t>East</t>
        </is>
      </c>
    </row>
    <row r="33">
      <c r="A33" s="2" t="n">
        <v>32</v>
      </c>
      <c r="B33" s="2" t="inlineStr">
        <is>
          <t>Merchant_032</t>
        </is>
      </c>
      <c r="C33" s="2" t="inlineStr">
        <is>
          <t>food_delivery</t>
        </is>
      </c>
      <c r="D33" s="2" t="inlineStr">
        <is>
          <t>West</t>
        </is>
      </c>
    </row>
    <row r="34">
      <c r="A34" s="2" t="n">
        <v>33</v>
      </c>
      <c r="B34" s="2" t="inlineStr">
        <is>
          <t>Merchant_033</t>
        </is>
      </c>
      <c r="C34" s="2" t="inlineStr">
        <is>
          <t>bill_payment</t>
        </is>
      </c>
      <c r="D34" s="2" t="inlineStr">
        <is>
          <t>East</t>
        </is>
      </c>
    </row>
    <row r="35">
      <c r="A35" s="2" t="n">
        <v>34</v>
      </c>
      <c r="B35" s="2" t="inlineStr">
        <is>
          <t>Merchant_034</t>
        </is>
      </c>
      <c r="C35" s="2" t="inlineStr">
        <is>
          <t>travel</t>
        </is>
      </c>
      <c r="D35" s="2" t="inlineStr">
        <is>
          <t>South</t>
        </is>
      </c>
    </row>
    <row r="36">
      <c r="A36" s="2" t="n">
        <v>35</v>
      </c>
      <c r="B36" s="2" t="inlineStr">
        <is>
          <t>Merchant_035</t>
        </is>
      </c>
      <c r="C36" s="2" t="inlineStr">
        <is>
          <t>recharge</t>
        </is>
      </c>
      <c r="D36" s="2" t="inlineStr">
        <is>
          <t>East</t>
        </is>
      </c>
    </row>
    <row r="37">
      <c r="A37" s="2" t="n">
        <v>36</v>
      </c>
      <c r="B37" s="2" t="inlineStr">
        <is>
          <t>Merchant_036</t>
        </is>
      </c>
      <c r="C37" s="2" t="inlineStr">
        <is>
          <t>entertainment</t>
        </is>
      </c>
      <c r="D37" s="2" t="inlineStr">
        <is>
          <t>East</t>
        </is>
      </c>
    </row>
    <row r="38">
      <c r="A38" s="2" t="n">
        <v>37</v>
      </c>
      <c r="B38" s="2" t="inlineStr">
        <is>
          <t>Merchant_037</t>
        </is>
      </c>
      <c r="C38" s="2" t="inlineStr">
        <is>
          <t>entertainment</t>
        </is>
      </c>
      <c r="D38" s="2" t="inlineStr">
        <is>
          <t>South</t>
        </is>
      </c>
    </row>
    <row r="39">
      <c r="A39" s="2" t="n">
        <v>38</v>
      </c>
      <c r="B39" s="2" t="inlineStr">
        <is>
          <t>Merchant_038</t>
        </is>
      </c>
      <c r="C39" s="2" t="inlineStr">
        <is>
          <t>grocery</t>
        </is>
      </c>
      <c r="D39" s="2" t="inlineStr">
        <is>
          <t>East</t>
        </is>
      </c>
    </row>
    <row r="40">
      <c r="A40" s="2" t="n">
        <v>39</v>
      </c>
      <c r="B40" s="2" t="inlineStr">
        <is>
          <t>Merchant_039</t>
        </is>
      </c>
      <c r="C40" s="2" t="inlineStr">
        <is>
          <t>entertainment</t>
        </is>
      </c>
      <c r="D40" s="2" t="inlineStr">
        <is>
          <t>North</t>
        </is>
      </c>
    </row>
    <row r="41">
      <c r="A41" s="2" t="n">
        <v>40</v>
      </c>
      <c r="B41" s="2" t="inlineStr">
        <is>
          <t>Merchant_040</t>
        </is>
      </c>
      <c r="C41" s="2" t="inlineStr">
        <is>
          <t>entertainment</t>
        </is>
      </c>
      <c r="D41" s="2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Payment Method Fee Tiers (MDR-style %)</t>
        </is>
      </c>
    </row>
    <row r="2">
      <c r="A2" s="4" t="inlineStr">
        <is>
          <t>Note: These are illustrative MDR fee percentages for HLOOKUP demonstration.</t>
        </is>
      </c>
    </row>
    <row r="4">
      <c r="A4" s="5" t="inlineStr">
        <is>
          <t>Method</t>
        </is>
      </c>
      <c r="B4" s="1" t="inlineStr">
        <is>
          <t>UPI</t>
        </is>
      </c>
      <c r="C4" s="1" t="inlineStr">
        <is>
          <t>Wallet</t>
        </is>
      </c>
      <c r="D4" s="1" t="inlineStr">
        <is>
          <t>Card</t>
        </is>
      </c>
      <c r="E4" s="1" t="inlineStr">
        <is>
          <t>Netbanking</t>
        </is>
      </c>
    </row>
    <row r="5">
      <c r="A5" s="5" t="inlineStr">
        <is>
          <t>MDR Fee %</t>
        </is>
      </c>
      <c r="B5" s="6" t="n">
        <v>0</v>
      </c>
      <c r="C5" s="6" t="n">
        <v>0.5</v>
      </c>
      <c r="D5" s="7" t="n">
        <v>1.8</v>
      </c>
      <c r="E5" s="7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transaction_time</t>
        </is>
      </c>
      <c r="E1" s="1" t="inlineStr">
        <is>
          <t>amount_inr</t>
        </is>
      </c>
      <c r="F1" s="1" t="inlineStr">
        <is>
          <t>payment_method</t>
        </is>
      </c>
      <c r="G1" s="1" t="inlineStr">
        <is>
          <t>status</t>
        </is>
      </c>
      <c r="H1" s="1" t="inlineStr">
        <is>
          <t>risk_score</t>
        </is>
      </c>
      <c r="I1" s="1" t="inlineStr">
        <is>
          <t>merchant_name (VLOOKUP)</t>
        </is>
      </c>
      <c r="J1" s="1" t="inlineStr">
        <is>
          <t>category (VLOOKUP)</t>
        </is>
      </c>
      <c r="K1" s="1" t="inlineStr">
        <is>
          <t>region (VLOOKUP)</t>
        </is>
      </c>
      <c r="L1" s="1" t="inlineStr">
        <is>
          <t>MDR_Fee_Pct (HLOOKUP)</t>
        </is>
      </c>
      <c r="M1" s="1" t="inlineStr">
        <is>
          <t>Classification (IF/AND)</t>
        </is>
      </c>
    </row>
    <row r="2">
      <c r="A2" s="2" t="inlineStr">
        <is>
          <t>TXN100000</t>
        </is>
      </c>
      <c r="B2" s="2" t="n">
        <v>350</v>
      </c>
      <c r="C2" s="2" t="n">
        <v>16</v>
      </c>
      <c r="D2" s="2" t="inlineStr">
        <is>
          <t>2026-01-29 11:13:00</t>
        </is>
      </c>
      <c r="E2" s="2" t="n">
        <v>2999</v>
      </c>
      <c r="F2" s="2" t="inlineStr">
        <is>
          <t>Wallet</t>
        </is>
      </c>
      <c r="G2" s="2" t="inlineStr">
        <is>
          <t>captured</t>
        </is>
      </c>
      <c r="H2" s="2" t="n">
        <v>85</v>
      </c>
      <c r="I2" s="2">
        <f>IFERROR(VLOOKUP(C2,Merchants!$A$2:$D$41,2,FALSE),"Merchant not found")</f>
        <v/>
      </c>
      <c r="J2" s="2">
        <f>IFERROR(VLOOKUP(C2,Merchants!$A$2:$D$41,3,FALSE),"Merchant not found")</f>
        <v/>
      </c>
      <c r="K2" s="2">
        <f>IFERROR(VLOOKUP(C2,Merchants!$A$2:$D$41,4,FALSE),"Merchant not found")</f>
        <v/>
      </c>
      <c r="L2" s="2">
        <f>IFERROR(HLOOKUP(F2,Fee_Tiers!$B$4:$E$5,2,FALSE),0)</f>
        <v/>
      </c>
      <c r="M2" s="2">
        <f>IF(AND(E2&gt;500,K2&lt;&gt;"East"),"High-Value Merchant Day",IF(AND(E2&gt;500,K2="East"),"High-Value East (Excluded)",IF(E2&lt;=500,"Standard","Unknown")))</f>
        <v/>
      </c>
    </row>
    <row r="3">
      <c r="A3" s="2" t="inlineStr">
        <is>
          <t>TXN100001</t>
        </is>
      </c>
      <c r="B3" s="2" t="n">
        <v>287</v>
      </c>
      <c r="C3" s="2" t="n">
        <v>27</v>
      </c>
      <c r="D3" s="2" t="inlineStr">
        <is>
          <t>2026-01-04 11:49:00</t>
        </is>
      </c>
      <c r="E3" s="2" t="n">
        <v>49</v>
      </c>
      <c r="F3" s="2" t="inlineStr">
        <is>
          <t>UPI</t>
        </is>
      </c>
      <c r="G3" s="2" t="inlineStr">
        <is>
          <t>captured</t>
        </is>
      </c>
      <c r="H3" s="2" t="n">
        <v>79</v>
      </c>
      <c r="I3" s="2">
        <f>IFERROR(VLOOKUP(C3,Merchants!$A$2:$D$41,2,FALSE),"Merchant not found")</f>
        <v/>
      </c>
      <c r="J3" s="2">
        <f>IFERROR(VLOOKUP(C3,Merchants!$A$2:$D$41,3,FALSE),"Merchant not found")</f>
        <v/>
      </c>
      <c r="K3" s="2">
        <f>IFERROR(VLOOKUP(C3,Merchants!$A$2:$D$41,4,FALSE),"Merchant not found")</f>
        <v/>
      </c>
      <c r="L3" s="2">
        <f>IFERROR(HLOOKUP(F3,Fee_Tiers!$B$4:$E$5,2,FALSE),0)</f>
        <v/>
      </c>
      <c r="M3" s="2">
        <f>IF(AND(E3&gt;500,K3&lt;&gt;"East"),"High-Value Merchant Day",IF(AND(E3&gt;500,K3="East"),"High-Value East (Excluded)",IF(E3&lt;=500,"Standard","Unknown")))</f>
        <v/>
      </c>
    </row>
    <row r="4">
      <c r="A4" s="2" t="inlineStr">
        <is>
          <t>TXN100002</t>
        </is>
      </c>
      <c r="B4" s="2" t="n">
        <v>122</v>
      </c>
      <c r="C4" s="2" t="n">
        <v>11</v>
      </c>
      <c r="D4" s="2" t="inlineStr">
        <is>
          <t>2026-01-24 04:59:00</t>
        </is>
      </c>
      <c r="E4" s="2" t="n">
        <v>1499</v>
      </c>
      <c r="F4" s="2" t="inlineStr">
        <is>
          <t>Wallet</t>
        </is>
      </c>
      <c r="G4" s="2" t="inlineStr">
        <is>
          <t>captured</t>
        </is>
      </c>
      <c r="H4" s="2" t="n">
        <v>22</v>
      </c>
      <c r="I4" s="2">
        <f>IFERROR(VLOOKUP(C4,Merchants!$A$2:$D$41,2,FALSE),"Merchant not found")</f>
        <v/>
      </c>
      <c r="J4" s="2">
        <f>IFERROR(VLOOKUP(C4,Merchants!$A$2:$D$41,3,FALSE),"Merchant not found")</f>
        <v/>
      </c>
      <c r="K4" s="2">
        <f>IFERROR(VLOOKUP(C4,Merchants!$A$2:$D$41,4,FALSE),"Merchant not found")</f>
        <v/>
      </c>
      <c r="L4" s="2">
        <f>IFERROR(HLOOKUP(F4,Fee_Tiers!$B$4:$E$5,2,FALSE),0)</f>
        <v/>
      </c>
      <c r="M4" s="2">
        <f>IF(AND(E4&gt;500,K4&lt;&gt;"East"),"High-Value Merchant Day",IF(AND(E4&gt;500,K4="East"),"High-Value East (Excluded)",IF(E4&lt;=500,"Standard","Unknown")))</f>
        <v/>
      </c>
    </row>
    <row r="5">
      <c r="A5" s="2" t="inlineStr">
        <is>
          <t>TXN100003</t>
        </is>
      </c>
      <c r="B5" s="2" t="n">
        <v>92</v>
      </c>
      <c r="C5" s="2" t="n">
        <v>22</v>
      </c>
      <c r="D5" s="2" t="inlineStr">
        <is>
          <t>2026-01-29 13:01:00</t>
        </is>
      </c>
      <c r="E5" s="2" t="n">
        <v>49</v>
      </c>
      <c r="F5" s="2" t="inlineStr">
        <is>
          <t>Netbanking</t>
        </is>
      </c>
      <c r="G5" s="2" t="inlineStr">
        <is>
          <t>captured</t>
        </is>
      </c>
      <c r="H5" s="2" t="n">
        <v>100</v>
      </c>
      <c r="I5" s="2">
        <f>IFERROR(VLOOKUP(C5,Merchants!$A$2:$D$41,2,FALSE),"Merchant not found")</f>
        <v/>
      </c>
      <c r="J5" s="2">
        <f>IFERROR(VLOOKUP(C5,Merchants!$A$2:$D$41,3,FALSE),"Merchant not found")</f>
        <v/>
      </c>
      <c r="K5" s="2">
        <f>IFERROR(VLOOKUP(C5,Merchants!$A$2:$D$41,4,FALSE),"Merchant not found")</f>
        <v/>
      </c>
      <c r="L5" s="2">
        <f>IFERROR(HLOOKUP(F5,Fee_Tiers!$B$4:$E$5,2,FALSE),0)</f>
        <v/>
      </c>
      <c r="M5" s="2">
        <f>IF(AND(E5&gt;500,K5&lt;&gt;"East"),"High-Value Merchant Day",IF(AND(E5&gt;500,K5="East"),"High-Value East (Excluded)",IF(E5&lt;=500,"Standard","Unknown")))</f>
        <v/>
      </c>
    </row>
    <row r="6">
      <c r="A6" s="2" t="inlineStr">
        <is>
          <t>TXN100004</t>
        </is>
      </c>
      <c r="B6" s="2" t="n">
        <v>343</v>
      </c>
      <c r="C6" s="2" t="n">
        <v>16</v>
      </c>
      <c r="D6" s="2" t="inlineStr">
        <is>
          <t>2026-01-30 13:51:00</t>
        </is>
      </c>
      <c r="E6" s="2" t="n">
        <v>99</v>
      </c>
      <c r="F6" s="2" t="inlineStr">
        <is>
          <t>UPI</t>
        </is>
      </c>
      <c r="G6" s="2" t="inlineStr">
        <is>
          <t>captured</t>
        </is>
      </c>
      <c r="H6" s="2" t="n">
        <v>34</v>
      </c>
      <c r="I6" s="2">
        <f>IFERROR(VLOOKUP(C6,Merchants!$A$2:$D$41,2,FALSE),"Merchant not found")</f>
        <v/>
      </c>
      <c r="J6" s="2">
        <f>IFERROR(VLOOKUP(C6,Merchants!$A$2:$D$41,3,FALSE),"Merchant not found")</f>
        <v/>
      </c>
      <c r="K6" s="2">
        <f>IFERROR(VLOOKUP(C6,Merchants!$A$2:$D$41,4,FALSE),"Merchant not found")</f>
        <v/>
      </c>
      <c r="L6" s="2">
        <f>IFERROR(HLOOKUP(F6,Fee_Tiers!$B$4:$E$5,2,FALSE),0)</f>
        <v/>
      </c>
      <c r="M6" s="2">
        <f>IF(AND(E6&gt;500,K6&lt;&gt;"East"),"High-Value Merchant Day",IF(AND(E6&gt;500,K6="East"),"High-Value East (Excluded)",IF(E6&lt;=500,"Standard","Unknown")))</f>
        <v/>
      </c>
    </row>
    <row r="7">
      <c r="A7" s="2" t="inlineStr">
        <is>
          <t>TXN100005</t>
        </is>
      </c>
      <c r="B7" s="2" t="n">
        <v>196</v>
      </c>
      <c r="C7" s="2" t="n">
        <v>3</v>
      </c>
      <c r="D7" s="2" t="inlineStr">
        <is>
          <t>2026-01-06 22:06:00</t>
        </is>
      </c>
      <c r="E7" s="2" t="n">
        <v>99</v>
      </c>
      <c r="F7" s="2" t="inlineStr">
        <is>
          <t>UPI</t>
        </is>
      </c>
      <c r="G7" s="2" t="inlineStr">
        <is>
          <t>captured</t>
        </is>
      </c>
      <c r="H7" s="2" t="n">
        <v>60</v>
      </c>
      <c r="I7" s="2">
        <f>IFERROR(VLOOKUP(C7,Merchants!$A$2:$D$41,2,FALSE),"Merchant not found")</f>
        <v/>
      </c>
      <c r="J7" s="2">
        <f>IFERROR(VLOOKUP(C7,Merchants!$A$2:$D$41,3,FALSE),"Merchant not found")</f>
        <v/>
      </c>
      <c r="K7" s="2">
        <f>IFERROR(VLOOKUP(C7,Merchants!$A$2:$D$41,4,FALSE),"Merchant not found")</f>
        <v/>
      </c>
      <c r="L7" s="2">
        <f>IFERROR(HLOOKUP(F7,Fee_Tiers!$B$4:$E$5,2,FALSE),0)</f>
        <v/>
      </c>
      <c r="M7" s="2">
        <f>IF(AND(E7&gt;500,K7&lt;&gt;"East"),"High-Value Merchant Day",IF(AND(E7&gt;500,K7="East"),"High-Value East (Excluded)",IF(E7&lt;=500,"Standard","Unknown")))</f>
        <v/>
      </c>
    </row>
    <row r="8">
      <c r="A8" s="2" t="inlineStr">
        <is>
          <t>TXN100006</t>
        </is>
      </c>
      <c r="B8" s="2" t="n">
        <v>236</v>
      </c>
      <c r="C8" s="2" t="n">
        <v>23</v>
      </c>
      <c r="D8" s="2" t="inlineStr">
        <is>
          <t>2026-01-08 06:52:00</t>
        </is>
      </c>
      <c r="E8" s="2" t="n">
        <v>99</v>
      </c>
      <c r="F8" s="2" t="inlineStr">
        <is>
          <t>Wallet</t>
        </is>
      </c>
      <c r="G8" s="2" t="inlineStr">
        <is>
          <t>captured</t>
        </is>
      </c>
      <c r="H8" s="2" t="n">
        <v>39</v>
      </c>
      <c r="I8" s="2">
        <f>IFERROR(VLOOKUP(C8,Merchants!$A$2:$D$41,2,FALSE),"Merchant not found")</f>
        <v/>
      </c>
      <c r="J8" s="2">
        <f>IFERROR(VLOOKUP(C8,Merchants!$A$2:$D$41,3,FALSE),"Merchant not found")</f>
        <v/>
      </c>
      <c r="K8" s="2">
        <f>IFERROR(VLOOKUP(C8,Merchants!$A$2:$D$41,4,FALSE),"Merchant not found")</f>
        <v/>
      </c>
      <c r="L8" s="2">
        <f>IFERROR(HLOOKUP(F8,Fee_Tiers!$B$4:$E$5,2,FALSE),0)</f>
        <v/>
      </c>
      <c r="M8" s="2">
        <f>IF(AND(E8&gt;500,K8&lt;&gt;"East"),"High-Value Merchant Day",IF(AND(E8&gt;500,K8="East"),"High-Value East (Excluded)",IF(E8&lt;=500,"Standard","Unknown")))</f>
        <v/>
      </c>
    </row>
    <row r="9">
      <c r="A9" s="2" t="inlineStr">
        <is>
          <t>TXN100007</t>
        </is>
      </c>
      <c r="B9" s="2" t="n">
        <v>13</v>
      </c>
      <c r="C9" s="2" t="n">
        <v>13</v>
      </c>
      <c r="D9" s="2" t="inlineStr">
        <is>
          <t>2026-01-27 07:14:00</t>
        </is>
      </c>
      <c r="E9" s="2" t="n">
        <v>99</v>
      </c>
      <c r="F9" s="2" t="inlineStr">
        <is>
          <t>UPI</t>
        </is>
      </c>
      <c r="G9" s="2" t="inlineStr">
        <is>
          <t>captured</t>
        </is>
      </c>
      <c r="H9" s="2" t="n">
        <v>51</v>
      </c>
      <c r="I9" s="2">
        <f>IFERROR(VLOOKUP(C9,Merchants!$A$2:$D$41,2,FALSE),"Merchant not found")</f>
        <v/>
      </c>
      <c r="J9" s="2">
        <f>IFERROR(VLOOKUP(C9,Merchants!$A$2:$D$41,3,FALSE),"Merchant not found")</f>
        <v/>
      </c>
      <c r="K9" s="2">
        <f>IFERROR(VLOOKUP(C9,Merchants!$A$2:$D$41,4,FALSE),"Merchant not found")</f>
        <v/>
      </c>
      <c r="L9" s="2">
        <f>IFERROR(HLOOKUP(F9,Fee_Tiers!$B$4:$E$5,2,FALSE),0)</f>
        <v/>
      </c>
      <c r="M9" s="2">
        <f>IF(AND(E9&gt;500,K9&lt;&gt;"East"),"High-Value Merchant Day",IF(AND(E9&gt;500,K9="East"),"High-Value East (Excluded)",IF(E9&lt;=500,"Standard","Unknown")))</f>
        <v/>
      </c>
    </row>
    <row r="10">
      <c r="A10" s="2" t="inlineStr">
        <is>
          <t>TXN100008</t>
        </is>
      </c>
      <c r="B10" s="2" t="n">
        <v>36</v>
      </c>
      <c r="C10" s="2" t="n">
        <v>18</v>
      </c>
      <c r="D10" s="2" t="inlineStr">
        <is>
          <t>2026-01-11 08:55:00</t>
        </is>
      </c>
      <c r="E10" s="2" t="n">
        <v>799</v>
      </c>
      <c r="F10" s="2" t="inlineStr">
        <is>
          <t>UPI</t>
        </is>
      </c>
      <c r="G10" s="2" t="inlineStr">
        <is>
          <t>captured</t>
        </is>
      </c>
      <c r="H10" s="2" t="n">
        <v>44</v>
      </c>
      <c r="I10" s="2">
        <f>IFERROR(VLOOKUP(C10,Merchants!$A$2:$D$41,2,FALSE),"Merchant not found")</f>
        <v/>
      </c>
      <c r="J10" s="2">
        <f>IFERROR(VLOOKUP(C10,Merchants!$A$2:$D$41,3,FALSE),"Merchant not found")</f>
        <v/>
      </c>
      <c r="K10" s="2">
        <f>IFERROR(VLOOKUP(C10,Merchants!$A$2:$D$41,4,FALSE),"Merchant not found")</f>
        <v/>
      </c>
      <c r="L10" s="2">
        <f>IFERROR(HLOOKUP(F10,Fee_Tiers!$B$4:$E$5,2,FALSE),0)</f>
        <v/>
      </c>
      <c r="M10" s="2">
        <f>IF(AND(E10&gt;500,K10&lt;&gt;"East"),"High-Value Merchant Day",IF(AND(E10&gt;500,K10="East"),"High-Value East (Excluded)",IF(E10&lt;=500,"Standard","Unknown")))</f>
        <v/>
      </c>
    </row>
    <row r="11">
      <c r="A11" s="2" t="inlineStr">
        <is>
          <t>TXN100009</t>
        </is>
      </c>
      <c r="B11" s="2" t="n">
        <v>348</v>
      </c>
      <c r="C11" s="2" t="n">
        <v>35</v>
      </c>
      <c r="D11" s="2" t="inlineStr">
        <is>
          <t>2026-01-21 16:25:00</t>
        </is>
      </c>
      <c r="E11" s="2" t="n">
        <v>299</v>
      </c>
      <c r="F11" s="2" t="inlineStr">
        <is>
          <t>UPI</t>
        </is>
      </c>
      <c r="G11" s="2" t="inlineStr">
        <is>
          <t>captured</t>
        </is>
      </c>
      <c r="H11" s="2" t="n">
        <v>42</v>
      </c>
      <c r="I11" s="2">
        <f>IFERROR(VLOOKUP(C11,Merchants!$A$2:$D$41,2,FALSE),"Merchant not found")</f>
        <v/>
      </c>
      <c r="J11" s="2">
        <f>IFERROR(VLOOKUP(C11,Merchants!$A$2:$D$41,3,FALSE),"Merchant not found")</f>
        <v/>
      </c>
      <c r="K11" s="2">
        <f>IFERROR(VLOOKUP(C11,Merchants!$A$2:$D$41,4,FALSE),"Merchant not found")</f>
        <v/>
      </c>
      <c r="L11" s="2">
        <f>IFERROR(HLOOKUP(F11,Fee_Tiers!$B$4:$E$5,2,FALSE),0)</f>
        <v/>
      </c>
      <c r="M11" s="2">
        <f>IF(AND(E11&gt;500,K11&lt;&gt;"East"),"High-Value Merchant Day",IF(AND(E11&gt;500,K11="East"),"High-Value East (Excluded)",IF(E11&lt;=500,"Standard","Unknown")))</f>
        <v/>
      </c>
    </row>
    <row r="12">
      <c r="A12" s="2" t="inlineStr">
        <is>
          <t>TXN100010</t>
        </is>
      </c>
      <c r="B12" s="2" t="n">
        <v>134</v>
      </c>
      <c r="C12" s="2" t="n">
        <v>12</v>
      </c>
      <c r="D12" s="2" t="inlineStr">
        <is>
          <t>2026-01-01 03:56:00</t>
        </is>
      </c>
      <c r="E12" s="2" t="n">
        <v>49</v>
      </c>
      <c r="F12" s="2" t="inlineStr">
        <is>
          <t>UPI</t>
        </is>
      </c>
      <c r="G12" s="2" t="inlineStr">
        <is>
          <t>captured</t>
        </is>
      </c>
      <c r="H12" s="2" t="n">
        <v>74</v>
      </c>
      <c r="I12" s="2">
        <f>IFERROR(VLOOKUP(C12,Merchants!$A$2:$D$41,2,FALSE),"Merchant not found")</f>
        <v/>
      </c>
      <c r="J12" s="2">
        <f>IFERROR(VLOOKUP(C12,Merchants!$A$2:$D$41,3,FALSE),"Merchant not found")</f>
        <v/>
      </c>
      <c r="K12" s="2">
        <f>IFERROR(VLOOKUP(C12,Merchants!$A$2:$D$41,4,FALSE),"Merchant not found")</f>
        <v/>
      </c>
      <c r="L12" s="2">
        <f>IFERROR(HLOOKUP(F12,Fee_Tiers!$B$4:$E$5,2,FALSE),0)</f>
        <v/>
      </c>
      <c r="M12" s="2">
        <f>IF(AND(E12&gt;500,K12&lt;&gt;"East"),"High-Value Merchant Day",IF(AND(E12&gt;500,K12="East"),"High-Value East (Excluded)",IF(E12&lt;=500,"Standard","Unknown")))</f>
        <v/>
      </c>
    </row>
    <row r="13">
      <c r="A13" s="2" t="inlineStr">
        <is>
          <t>TXN100011</t>
        </is>
      </c>
      <c r="B13" s="2" t="n">
        <v>306</v>
      </c>
      <c r="C13" s="2" t="n">
        <v>28</v>
      </c>
      <c r="D13" s="2" t="inlineStr">
        <is>
          <t>2026-01-09 01:06:00</t>
        </is>
      </c>
      <c r="E13" s="2" t="n">
        <v>2999</v>
      </c>
      <c r="F13" s="2" t="inlineStr">
        <is>
          <t>Card</t>
        </is>
      </c>
      <c r="G13" s="2" t="inlineStr">
        <is>
          <t>failed</t>
        </is>
      </c>
      <c r="H13" s="2" t="n">
        <v>44</v>
      </c>
      <c r="I13" s="2">
        <f>IFERROR(VLOOKUP(C13,Merchants!$A$2:$D$41,2,FALSE),"Merchant not found")</f>
        <v/>
      </c>
      <c r="J13" s="2">
        <f>IFERROR(VLOOKUP(C13,Merchants!$A$2:$D$41,3,FALSE),"Merchant not found")</f>
        <v/>
      </c>
      <c r="K13" s="2">
        <f>IFERROR(VLOOKUP(C13,Merchants!$A$2:$D$41,4,FALSE),"Merchant not found")</f>
        <v/>
      </c>
      <c r="L13" s="2">
        <f>IFERROR(HLOOKUP(F13,Fee_Tiers!$B$4:$E$5,2,FALSE),0)</f>
        <v/>
      </c>
      <c r="M13" s="2">
        <f>IF(AND(E13&gt;500,K13&lt;&gt;"East"),"High-Value Merchant Day",IF(AND(E13&gt;500,K13="East"),"High-Value East (Excluded)",IF(E13&lt;=500,"Standard","Unknown")))</f>
        <v/>
      </c>
    </row>
    <row r="14">
      <c r="A14" s="2" t="inlineStr">
        <is>
          <t>TXN100012</t>
        </is>
      </c>
      <c r="B14" s="2" t="n">
        <v>311</v>
      </c>
      <c r="C14" s="2" t="n">
        <v>33</v>
      </c>
      <c r="D14" s="2" t="inlineStr">
        <is>
          <t>2026-01-24 10:27:00</t>
        </is>
      </c>
      <c r="E14" s="2" t="n">
        <v>49</v>
      </c>
      <c r="F14" s="2" t="inlineStr">
        <is>
          <t>Wallet</t>
        </is>
      </c>
      <c r="G14" s="2" t="inlineStr">
        <is>
          <t>captured</t>
        </is>
      </c>
      <c r="H14" s="2" t="n">
        <v>14</v>
      </c>
      <c r="I14" s="2">
        <f>IFERROR(VLOOKUP(C14,Merchants!$A$2:$D$41,2,FALSE),"Merchant not found")</f>
        <v/>
      </c>
      <c r="J14" s="2">
        <f>IFERROR(VLOOKUP(C14,Merchants!$A$2:$D$41,3,FALSE),"Merchant not found")</f>
        <v/>
      </c>
      <c r="K14" s="2">
        <f>IFERROR(VLOOKUP(C14,Merchants!$A$2:$D$41,4,FALSE),"Merchant not found")</f>
        <v/>
      </c>
      <c r="L14" s="2">
        <f>IFERROR(HLOOKUP(F14,Fee_Tiers!$B$4:$E$5,2,FALSE),0)</f>
        <v/>
      </c>
      <c r="M14" s="2">
        <f>IF(AND(E14&gt;500,K14&lt;&gt;"East"),"High-Value Merchant Day",IF(AND(E14&gt;500,K14="East"),"High-Value East (Excluded)",IF(E14&lt;=500,"Standard","Unknown")))</f>
        <v/>
      </c>
    </row>
    <row r="15">
      <c r="A15" s="2" t="inlineStr">
        <is>
          <t>TXN100013</t>
        </is>
      </c>
      <c r="B15" s="2" t="n">
        <v>131</v>
      </c>
      <c r="C15" s="2" t="n">
        <v>3</v>
      </c>
      <c r="D15" s="2" t="inlineStr">
        <is>
          <t>2026-01-13 18:12:00</t>
        </is>
      </c>
      <c r="E15" s="2" t="n">
        <v>49</v>
      </c>
      <c r="F15" s="2" t="inlineStr">
        <is>
          <t>UPI</t>
        </is>
      </c>
      <c r="G15" s="2" t="inlineStr">
        <is>
          <t>captured</t>
        </is>
      </c>
      <c r="H15" s="2" t="n">
        <v>90</v>
      </c>
      <c r="I15" s="2">
        <f>IFERROR(VLOOKUP(C15,Merchants!$A$2:$D$41,2,FALSE),"Merchant not found")</f>
        <v/>
      </c>
      <c r="J15" s="2">
        <f>IFERROR(VLOOKUP(C15,Merchants!$A$2:$D$41,3,FALSE),"Merchant not found")</f>
        <v/>
      </c>
      <c r="K15" s="2">
        <f>IFERROR(VLOOKUP(C15,Merchants!$A$2:$D$41,4,FALSE),"Merchant not found")</f>
        <v/>
      </c>
      <c r="L15" s="2">
        <f>IFERROR(HLOOKUP(F15,Fee_Tiers!$B$4:$E$5,2,FALSE),0)</f>
        <v/>
      </c>
      <c r="M15" s="2">
        <f>IF(AND(E15&gt;500,K15&lt;&gt;"East"),"High-Value Merchant Day",IF(AND(E15&gt;500,K15="East"),"High-Value East (Excluded)",IF(E15&lt;=500,"Standard","Unknown")))</f>
        <v/>
      </c>
    </row>
    <row r="16">
      <c r="A16" s="2" t="inlineStr">
        <is>
          <t>TXN100014</t>
        </is>
      </c>
      <c r="B16" s="2" t="n">
        <v>276</v>
      </c>
      <c r="C16" s="2" t="n">
        <v>13</v>
      </c>
      <c r="D16" s="2" t="inlineStr">
        <is>
          <t>2026-01-14 00:33:00</t>
        </is>
      </c>
      <c r="E16" s="2" t="n">
        <v>1499</v>
      </c>
      <c r="F16" s="2" t="inlineStr">
        <is>
          <t>UPI</t>
        </is>
      </c>
      <c r="G16" s="2" t="inlineStr">
        <is>
          <t>captured</t>
        </is>
      </c>
      <c r="H16" s="2" t="n">
        <v>46</v>
      </c>
      <c r="I16" s="2">
        <f>IFERROR(VLOOKUP(C16,Merchants!$A$2:$D$41,2,FALSE),"Merchant not found")</f>
        <v/>
      </c>
      <c r="J16" s="2">
        <f>IFERROR(VLOOKUP(C16,Merchants!$A$2:$D$41,3,FALSE),"Merchant not found")</f>
        <v/>
      </c>
      <c r="K16" s="2">
        <f>IFERROR(VLOOKUP(C16,Merchants!$A$2:$D$41,4,FALSE),"Merchant not found")</f>
        <v/>
      </c>
      <c r="L16" s="2">
        <f>IFERROR(HLOOKUP(F16,Fee_Tiers!$B$4:$E$5,2,FALSE),0)</f>
        <v/>
      </c>
      <c r="M16" s="2">
        <f>IF(AND(E16&gt;500,K16&lt;&gt;"East"),"High-Value Merchant Day",IF(AND(E16&gt;500,K16="East"),"High-Value East (Excluded)",IF(E16&lt;=500,"Standard","Unknown")))</f>
        <v/>
      </c>
    </row>
    <row r="17">
      <c r="A17" s="2" t="inlineStr">
        <is>
          <t>TXN100015</t>
        </is>
      </c>
      <c r="B17" s="2" t="n">
        <v>170</v>
      </c>
      <c r="C17" s="2" t="n">
        <v>40</v>
      </c>
      <c r="D17" s="2" t="inlineStr">
        <is>
          <t>2026-01-14 02:42:00</t>
        </is>
      </c>
      <c r="E17" s="2" t="n">
        <v>99</v>
      </c>
      <c r="F17" s="2" t="inlineStr">
        <is>
          <t>UPI</t>
        </is>
      </c>
      <c r="G17" s="2" t="inlineStr">
        <is>
          <t>captured</t>
        </is>
      </c>
      <c r="H17" s="2" t="n">
        <v>40</v>
      </c>
      <c r="I17" s="2">
        <f>IFERROR(VLOOKUP(C17,Merchants!$A$2:$D$41,2,FALSE),"Merchant not found")</f>
        <v/>
      </c>
      <c r="J17" s="2">
        <f>IFERROR(VLOOKUP(C17,Merchants!$A$2:$D$41,3,FALSE),"Merchant not found")</f>
        <v/>
      </c>
      <c r="K17" s="2">
        <f>IFERROR(VLOOKUP(C17,Merchants!$A$2:$D$41,4,FALSE),"Merchant not found")</f>
        <v/>
      </c>
      <c r="L17" s="2">
        <f>IFERROR(HLOOKUP(F17,Fee_Tiers!$B$4:$E$5,2,FALSE),0)</f>
        <v/>
      </c>
      <c r="M17" s="2">
        <f>IF(AND(E17&gt;500,K17&lt;&gt;"East"),"High-Value Merchant Day",IF(AND(E17&gt;500,K17="East"),"High-Value East (Excluded)",IF(E17&lt;=500,"Standard","Unknown")))</f>
        <v/>
      </c>
    </row>
    <row r="18">
      <c r="A18" s="2" t="inlineStr">
        <is>
          <t>TXN100016</t>
        </is>
      </c>
      <c r="B18" s="2" t="n">
        <v>154</v>
      </c>
      <c r="C18" s="2" t="n">
        <v>33</v>
      </c>
      <c r="D18" s="2" t="inlineStr">
        <is>
          <t>2026-01-22 03:46:00</t>
        </is>
      </c>
      <c r="E18" s="2" t="n">
        <v>99</v>
      </c>
      <c r="F18" s="2" t="inlineStr">
        <is>
          <t>Netbanking</t>
        </is>
      </c>
      <c r="G18" s="2" t="inlineStr">
        <is>
          <t>captured</t>
        </is>
      </c>
      <c r="H18" s="2" t="n">
        <v>39</v>
      </c>
      <c r="I18" s="2">
        <f>IFERROR(VLOOKUP(C18,Merchants!$A$2:$D$41,2,FALSE),"Merchant not found")</f>
        <v/>
      </c>
      <c r="J18" s="2">
        <f>IFERROR(VLOOKUP(C18,Merchants!$A$2:$D$41,3,FALSE),"Merchant not found")</f>
        <v/>
      </c>
      <c r="K18" s="2">
        <f>IFERROR(VLOOKUP(C18,Merchants!$A$2:$D$41,4,FALSE),"Merchant not found")</f>
        <v/>
      </c>
      <c r="L18" s="2">
        <f>IFERROR(HLOOKUP(F18,Fee_Tiers!$B$4:$E$5,2,FALSE),0)</f>
        <v/>
      </c>
      <c r="M18" s="2">
        <f>IF(AND(E18&gt;500,K18&lt;&gt;"East"),"High-Value Merchant Day",IF(AND(E18&gt;500,K18="East"),"High-Value East (Excluded)",IF(E18&lt;=500,"Standard","Unknown")))</f>
        <v/>
      </c>
    </row>
    <row r="19">
      <c r="A19" s="2" t="inlineStr">
        <is>
          <t>TXN100017</t>
        </is>
      </c>
      <c r="B19" s="2" t="n">
        <v>207</v>
      </c>
      <c r="C19" s="2" t="n">
        <v>19</v>
      </c>
      <c r="D19" s="2" t="inlineStr">
        <is>
          <t>2026-01-22 13:20:00</t>
        </is>
      </c>
      <c r="E19" s="2" t="n">
        <v>2999</v>
      </c>
      <c r="F19" s="2" t="inlineStr">
        <is>
          <t>Card</t>
        </is>
      </c>
      <c r="G19" s="2" t="inlineStr">
        <is>
          <t>captured</t>
        </is>
      </c>
      <c r="H19" s="2" t="n">
        <v>70</v>
      </c>
      <c r="I19" s="2">
        <f>IFERROR(VLOOKUP(C19,Merchants!$A$2:$D$41,2,FALSE),"Merchant not found")</f>
        <v/>
      </c>
      <c r="J19" s="2">
        <f>IFERROR(VLOOKUP(C19,Merchants!$A$2:$D$41,3,FALSE),"Merchant not found")</f>
        <v/>
      </c>
      <c r="K19" s="2">
        <f>IFERROR(VLOOKUP(C19,Merchants!$A$2:$D$41,4,FALSE),"Merchant not found")</f>
        <v/>
      </c>
      <c r="L19" s="2">
        <f>IFERROR(HLOOKUP(F19,Fee_Tiers!$B$4:$E$5,2,FALSE),0)</f>
        <v/>
      </c>
      <c r="M19" s="2">
        <f>IF(AND(E19&gt;500,K19&lt;&gt;"East"),"High-Value Merchant Day",IF(AND(E19&gt;500,K19="East"),"High-Value East (Excluded)",IF(E19&lt;=500,"Standard","Unknown")))</f>
        <v/>
      </c>
    </row>
    <row r="20">
      <c r="A20" s="2" t="inlineStr">
        <is>
          <t>TXN100018</t>
        </is>
      </c>
      <c r="B20" s="2" t="n">
        <v>341</v>
      </c>
      <c r="C20" s="2" t="n">
        <v>25</v>
      </c>
      <c r="D20" s="2" t="inlineStr">
        <is>
          <t>2026-01-05 06:26:00</t>
        </is>
      </c>
      <c r="E20" s="2" t="n">
        <v>2999</v>
      </c>
      <c r="F20" s="2" t="inlineStr">
        <is>
          <t>UPI</t>
        </is>
      </c>
      <c r="G20" s="2" t="inlineStr">
        <is>
          <t>captured</t>
        </is>
      </c>
      <c r="H20" s="2" t="n">
        <v>86</v>
      </c>
      <c r="I20" s="2">
        <f>IFERROR(VLOOKUP(C20,Merchants!$A$2:$D$41,2,FALSE),"Merchant not found")</f>
        <v/>
      </c>
      <c r="J20" s="2">
        <f>IFERROR(VLOOKUP(C20,Merchants!$A$2:$D$41,3,FALSE),"Merchant not found")</f>
        <v/>
      </c>
      <c r="K20" s="2">
        <f>IFERROR(VLOOKUP(C20,Merchants!$A$2:$D$41,4,FALSE),"Merchant not found")</f>
        <v/>
      </c>
      <c r="L20" s="2">
        <f>IFERROR(HLOOKUP(F20,Fee_Tiers!$B$4:$E$5,2,FALSE),0)</f>
        <v/>
      </c>
      <c r="M20" s="2">
        <f>IF(AND(E20&gt;500,K20&lt;&gt;"East"),"High-Value Merchant Day",IF(AND(E20&gt;500,K20="East"),"High-Value East (Excluded)",IF(E20&lt;=500,"Standard","Unknown")))</f>
        <v/>
      </c>
    </row>
    <row r="21">
      <c r="A21" s="2" t="inlineStr">
        <is>
          <t>TXN100019</t>
        </is>
      </c>
      <c r="B21" s="2" t="n">
        <v>292</v>
      </c>
      <c r="C21" s="2" t="n">
        <v>20</v>
      </c>
      <c r="D21" s="2" t="inlineStr">
        <is>
          <t>2026-01-24 05:39:00</t>
        </is>
      </c>
      <c r="E21" s="2" t="n">
        <v>49</v>
      </c>
      <c r="F21" s="2" t="inlineStr">
        <is>
          <t>UPI</t>
        </is>
      </c>
      <c r="G21" s="2" t="inlineStr">
        <is>
          <t>captured</t>
        </is>
      </c>
      <c r="H21" s="2" t="n">
        <v>51</v>
      </c>
      <c r="I21" s="2">
        <f>IFERROR(VLOOKUP(C21,Merchants!$A$2:$D$41,2,FALSE),"Merchant not found")</f>
        <v/>
      </c>
      <c r="J21" s="2">
        <f>IFERROR(VLOOKUP(C21,Merchants!$A$2:$D$41,3,FALSE),"Merchant not found")</f>
        <v/>
      </c>
      <c r="K21" s="2">
        <f>IFERROR(VLOOKUP(C21,Merchants!$A$2:$D$41,4,FALSE),"Merchant not found")</f>
        <v/>
      </c>
      <c r="L21" s="2">
        <f>IFERROR(HLOOKUP(F21,Fee_Tiers!$B$4:$E$5,2,FALSE),0)</f>
        <v/>
      </c>
      <c r="M21" s="2">
        <f>IF(AND(E21&gt;500,K21&lt;&gt;"East"),"High-Value Merchant Day",IF(AND(E21&gt;500,K21="East"),"High-Value East (Excluded)",IF(E21&lt;=500,"Standard","Unknown")))</f>
        <v/>
      </c>
    </row>
    <row r="22">
      <c r="A22" s="2" t="inlineStr">
        <is>
          <t>TXN100020</t>
        </is>
      </c>
      <c r="B22" s="2" t="n">
        <v>147</v>
      </c>
      <c r="C22" s="2" t="n">
        <v>14</v>
      </c>
      <c r="D22" s="2" t="inlineStr">
        <is>
          <t>2026-01-18 00:19:00</t>
        </is>
      </c>
      <c r="E22" s="2" t="n">
        <v>99</v>
      </c>
      <c r="F22" s="2" t="inlineStr">
        <is>
          <t>Card</t>
        </is>
      </c>
      <c r="G22" s="2" t="inlineStr">
        <is>
          <t>captured</t>
        </is>
      </c>
      <c r="H22" s="2" t="n">
        <v>55</v>
      </c>
      <c r="I22" s="2">
        <f>IFERROR(VLOOKUP(C22,Merchants!$A$2:$D$41,2,FALSE),"Merchant not found")</f>
        <v/>
      </c>
      <c r="J22" s="2">
        <f>IFERROR(VLOOKUP(C22,Merchants!$A$2:$D$41,3,FALSE),"Merchant not found")</f>
        <v/>
      </c>
      <c r="K22" s="2">
        <f>IFERROR(VLOOKUP(C22,Merchants!$A$2:$D$41,4,FALSE),"Merchant not found")</f>
        <v/>
      </c>
      <c r="L22" s="2">
        <f>IFERROR(HLOOKUP(F22,Fee_Tiers!$B$4:$E$5,2,FALSE),0)</f>
        <v/>
      </c>
      <c r="M22" s="2">
        <f>IF(AND(E22&gt;500,K22&lt;&gt;"East"),"High-Value Merchant Day",IF(AND(E22&gt;500,K22="East"),"High-Value East (Excluded)",IF(E22&lt;=500,"Standard","Unknown")))</f>
        <v/>
      </c>
    </row>
    <row r="23">
      <c r="A23" s="2" t="inlineStr">
        <is>
          <t>TXN100021</t>
        </is>
      </c>
      <c r="B23" s="2" t="n">
        <v>336</v>
      </c>
      <c r="C23" s="2" t="n">
        <v>21</v>
      </c>
      <c r="D23" s="2" t="inlineStr">
        <is>
          <t>2026-01-26 18:38:00</t>
        </is>
      </c>
      <c r="E23" s="2" t="n">
        <v>99</v>
      </c>
      <c r="F23" s="2" t="inlineStr">
        <is>
          <t>UPI</t>
        </is>
      </c>
      <c r="G23" s="2" t="inlineStr">
        <is>
          <t>captured</t>
        </is>
      </c>
      <c r="H23" s="2" t="n">
        <v>59</v>
      </c>
      <c r="I23" s="2">
        <f>IFERROR(VLOOKUP(C23,Merchants!$A$2:$D$41,2,FALSE),"Merchant not found")</f>
        <v/>
      </c>
      <c r="J23" s="2">
        <f>IFERROR(VLOOKUP(C23,Merchants!$A$2:$D$41,3,FALSE),"Merchant not found")</f>
        <v/>
      </c>
      <c r="K23" s="2">
        <f>IFERROR(VLOOKUP(C23,Merchants!$A$2:$D$41,4,FALSE),"Merchant not found")</f>
        <v/>
      </c>
      <c r="L23" s="2">
        <f>IFERROR(HLOOKUP(F23,Fee_Tiers!$B$4:$E$5,2,FALSE),0)</f>
        <v/>
      </c>
      <c r="M23" s="2">
        <f>IF(AND(E23&gt;500,K23&lt;&gt;"East"),"High-Value Merchant Day",IF(AND(E23&gt;500,K23="East"),"High-Value East (Excluded)",IF(E23&lt;=500,"Standard","Unknown")))</f>
        <v/>
      </c>
    </row>
    <row r="24">
      <c r="A24" s="2" t="inlineStr">
        <is>
          <t>TXN100022</t>
        </is>
      </c>
      <c r="B24" s="2" t="n">
        <v>110</v>
      </c>
      <c r="C24" s="2" t="n">
        <v>33</v>
      </c>
      <c r="D24" s="2" t="inlineStr">
        <is>
          <t>2026-01-15 14:43:00</t>
        </is>
      </c>
      <c r="E24" s="2" t="n">
        <v>799</v>
      </c>
      <c r="F24" s="2" t="inlineStr">
        <is>
          <t>UPI</t>
        </is>
      </c>
      <c r="G24" s="2" t="inlineStr">
        <is>
          <t>captured</t>
        </is>
      </c>
      <c r="H24" s="2" t="n">
        <v>60</v>
      </c>
      <c r="I24" s="2">
        <f>IFERROR(VLOOKUP(C24,Merchants!$A$2:$D$41,2,FALSE),"Merchant not found")</f>
        <v/>
      </c>
      <c r="J24" s="2">
        <f>IFERROR(VLOOKUP(C24,Merchants!$A$2:$D$41,3,FALSE),"Merchant not found")</f>
        <v/>
      </c>
      <c r="K24" s="2">
        <f>IFERROR(VLOOKUP(C24,Merchants!$A$2:$D$41,4,FALSE),"Merchant not found")</f>
        <v/>
      </c>
      <c r="L24" s="2">
        <f>IFERROR(HLOOKUP(F24,Fee_Tiers!$B$4:$E$5,2,FALSE),0)</f>
        <v/>
      </c>
      <c r="M24" s="2">
        <f>IF(AND(E24&gt;500,K24&lt;&gt;"East"),"High-Value Merchant Day",IF(AND(E24&gt;500,K24="East"),"High-Value East (Excluded)",IF(E24&lt;=500,"Standard","Unknown")))</f>
        <v/>
      </c>
    </row>
    <row r="25">
      <c r="A25" s="2" t="inlineStr">
        <is>
          <t>TXN100023</t>
        </is>
      </c>
      <c r="B25" s="2" t="n">
        <v>338</v>
      </c>
      <c r="C25" s="2" t="n">
        <v>6</v>
      </c>
      <c r="D25" s="2" t="inlineStr">
        <is>
          <t>2026-01-26 23:10:00</t>
        </is>
      </c>
      <c r="E25" s="2" t="n">
        <v>799</v>
      </c>
      <c r="F25" s="2" t="inlineStr">
        <is>
          <t>UPI</t>
        </is>
      </c>
      <c r="G25" s="2" t="inlineStr">
        <is>
          <t>chargeback</t>
        </is>
      </c>
      <c r="H25" s="2" t="n">
        <v>36</v>
      </c>
      <c r="I25" s="2">
        <f>IFERROR(VLOOKUP(C25,Merchants!$A$2:$D$41,2,FALSE),"Merchant not found")</f>
        <v/>
      </c>
      <c r="J25" s="2">
        <f>IFERROR(VLOOKUP(C25,Merchants!$A$2:$D$41,3,FALSE),"Merchant not found")</f>
        <v/>
      </c>
      <c r="K25" s="2">
        <f>IFERROR(VLOOKUP(C25,Merchants!$A$2:$D$41,4,FALSE),"Merchant not found")</f>
        <v/>
      </c>
      <c r="L25" s="2">
        <f>IFERROR(HLOOKUP(F25,Fee_Tiers!$B$4:$E$5,2,FALSE),0)</f>
        <v/>
      </c>
      <c r="M25" s="2">
        <f>IF(AND(E25&gt;500,K25&lt;&gt;"East"),"High-Value Merchant Day",IF(AND(E25&gt;500,K25="East"),"High-Value East (Excluded)",IF(E25&lt;=500,"Standard","Unknown")))</f>
        <v/>
      </c>
    </row>
    <row r="26">
      <c r="A26" s="2" t="inlineStr">
        <is>
          <t>TXN100024</t>
        </is>
      </c>
      <c r="B26" s="2" t="n">
        <v>318</v>
      </c>
      <c r="C26" s="2" t="n">
        <v>22</v>
      </c>
      <c r="D26" s="2" t="inlineStr">
        <is>
          <t>2026-01-17 21:40:00</t>
        </is>
      </c>
      <c r="E26" s="2" t="n">
        <v>799</v>
      </c>
      <c r="F26" s="2" t="inlineStr">
        <is>
          <t>Wallet</t>
        </is>
      </c>
      <c r="G26" s="2" t="inlineStr">
        <is>
          <t>captured</t>
        </is>
      </c>
      <c r="H26" s="2" t="n">
        <v>11</v>
      </c>
      <c r="I26" s="2">
        <f>IFERROR(VLOOKUP(C26,Merchants!$A$2:$D$41,2,FALSE),"Merchant not found")</f>
        <v/>
      </c>
      <c r="J26" s="2">
        <f>IFERROR(VLOOKUP(C26,Merchants!$A$2:$D$41,3,FALSE),"Merchant not found")</f>
        <v/>
      </c>
      <c r="K26" s="2">
        <f>IFERROR(VLOOKUP(C26,Merchants!$A$2:$D$41,4,FALSE),"Merchant not found")</f>
        <v/>
      </c>
      <c r="L26" s="2">
        <f>IFERROR(HLOOKUP(F26,Fee_Tiers!$B$4:$E$5,2,FALSE),0)</f>
        <v/>
      </c>
      <c r="M26" s="2">
        <f>IF(AND(E26&gt;500,K26&lt;&gt;"East"),"High-Value Merchant Day",IF(AND(E26&gt;500,K26="East"),"High-Value East (Excluded)",IF(E26&lt;=500,"Standard","Unknown")))</f>
        <v/>
      </c>
    </row>
    <row r="27">
      <c r="A27" s="2" t="inlineStr">
        <is>
          <t>TXN100025</t>
        </is>
      </c>
      <c r="B27" s="2" t="n">
        <v>159</v>
      </c>
      <c r="C27" s="2" t="n">
        <v>15</v>
      </c>
      <c r="D27" s="2" t="inlineStr">
        <is>
          <t>2026-01-27 07:43:00</t>
        </is>
      </c>
      <c r="E27" s="2" t="n">
        <v>799</v>
      </c>
      <c r="F27" s="2" t="inlineStr">
        <is>
          <t>UPI</t>
        </is>
      </c>
      <c r="G27" s="2" t="inlineStr">
        <is>
          <t>captured</t>
        </is>
      </c>
      <c r="H27" s="2" t="n">
        <v>25</v>
      </c>
      <c r="I27" s="2">
        <f>IFERROR(VLOOKUP(C27,Merchants!$A$2:$D$41,2,FALSE),"Merchant not found")</f>
        <v/>
      </c>
      <c r="J27" s="2">
        <f>IFERROR(VLOOKUP(C27,Merchants!$A$2:$D$41,3,FALSE),"Merchant not found")</f>
        <v/>
      </c>
      <c r="K27" s="2">
        <f>IFERROR(VLOOKUP(C27,Merchants!$A$2:$D$41,4,FALSE),"Merchant not found")</f>
        <v/>
      </c>
      <c r="L27" s="2">
        <f>IFERROR(HLOOKUP(F27,Fee_Tiers!$B$4:$E$5,2,FALSE),0)</f>
        <v/>
      </c>
      <c r="M27" s="2">
        <f>IF(AND(E27&gt;500,K27&lt;&gt;"East"),"High-Value Merchant Day",IF(AND(E27&gt;500,K27="East"),"High-Value East (Excluded)",IF(E27&lt;=500,"Standard","Unknown")))</f>
        <v/>
      </c>
    </row>
    <row r="28">
      <c r="A28" s="2" t="inlineStr">
        <is>
          <t>TXN100026</t>
        </is>
      </c>
      <c r="B28" s="2" t="n">
        <v>126</v>
      </c>
      <c r="C28" s="2" t="n">
        <v>31</v>
      </c>
      <c r="D28" s="2" t="inlineStr">
        <is>
          <t>2026-01-05 00:02:00</t>
        </is>
      </c>
      <c r="E28" s="2" t="n">
        <v>49</v>
      </c>
      <c r="F28" s="2" t="inlineStr">
        <is>
          <t>Card</t>
        </is>
      </c>
      <c r="G28" s="2" t="inlineStr">
        <is>
          <t>captured</t>
        </is>
      </c>
      <c r="H28" s="2" t="n">
        <v>78</v>
      </c>
      <c r="I28" s="2">
        <f>IFERROR(VLOOKUP(C28,Merchants!$A$2:$D$41,2,FALSE),"Merchant not found")</f>
        <v/>
      </c>
      <c r="J28" s="2">
        <f>IFERROR(VLOOKUP(C28,Merchants!$A$2:$D$41,3,FALSE),"Merchant not found")</f>
        <v/>
      </c>
      <c r="K28" s="2">
        <f>IFERROR(VLOOKUP(C28,Merchants!$A$2:$D$41,4,FALSE),"Merchant not found")</f>
        <v/>
      </c>
      <c r="L28" s="2">
        <f>IFERROR(HLOOKUP(F28,Fee_Tiers!$B$4:$E$5,2,FALSE),0)</f>
        <v/>
      </c>
      <c r="M28" s="2">
        <f>IF(AND(E28&gt;500,K28&lt;&gt;"East"),"High-Value Merchant Day",IF(AND(E28&gt;500,K28="East"),"High-Value East (Excluded)",IF(E28&lt;=500,"Standard","Unknown")))</f>
        <v/>
      </c>
    </row>
    <row r="29">
      <c r="A29" s="2" t="inlineStr">
        <is>
          <t>TXN100027</t>
        </is>
      </c>
      <c r="B29" s="2" t="n">
        <v>213</v>
      </c>
      <c r="C29" s="2" t="n">
        <v>37</v>
      </c>
      <c r="D29" s="2" t="inlineStr">
        <is>
          <t>2026-01-28 02:29:00</t>
        </is>
      </c>
      <c r="E29" s="2" t="n">
        <v>99</v>
      </c>
      <c r="F29" s="2" t="inlineStr">
        <is>
          <t>UPI</t>
        </is>
      </c>
      <c r="G29" s="2" t="inlineStr">
        <is>
          <t>captured</t>
        </is>
      </c>
      <c r="H29" s="2" t="n">
        <v>24</v>
      </c>
      <c r="I29" s="2">
        <f>IFERROR(VLOOKUP(C29,Merchants!$A$2:$D$41,2,FALSE),"Merchant not found")</f>
        <v/>
      </c>
      <c r="J29" s="2">
        <f>IFERROR(VLOOKUP(C29,Merchants!$A$2:$D$41,3,FALSE),"Merchant not found")</f>
        <v/>
      </c>
      <c r="K29" s="2">
        <f>IFERROR(VLOOKUP(C29,Merchants!$A$2:$D$41,4,FALSE),"Merchant not found")</f>
        <v/>
      </c>
      <c r="L29" s="2">
        <f>IFERROR(HLOOKUP(F29,Fee_Tiers!$B$4:$E$5,2,FALSE),0)</f>
        <v/>
      </c>
      <c r="M29" s="2">
        <f>IF(AND(E29&gt;500,K29&lt;&gt;"East"),"High-Value Merchant Day",IF(AND(E29&gt;500,K29="East"),"High-Value East (Excluded)",IF(E29&lt;=500,"Standard","Unknown")))</f>
        <v/>
      </c>
    </row>
    <row r="30">
      <c r="A30" s="2" t="inlineStr">
        <is>
          <t>TXN100028</t>
        </is>
      </c>
      <c r="B30" s="2" t="n">
        <v>254</v>
      </c>
      <c r="C30" s="2" t="n">
        <v>26</v>
      </c>
      <c r="D30" s="2" t="inlineStr">
        <is>
          <t>2026-01-23 22:24:00</t>
        </is>
      </c>
      <c r="E30" s="2" t="n">
        <v>99</v>
      </c>
      <c r="F30" s="2" t="inlineStr">
        <is>
          <t>Wallet</t>
        </is>
      </c>
      <c r="G30" s="2" t="inlineStr">
        <is>
          <t>captured</t>
        </is>
      </c>
      <c r="H30" s="2" t="n">
        <v>31</v>
      </c>
      <c r="I30" s="2">
        <f>IFERROR(VLOOKUP(C30,Merchants!$A$2:$D$41,2,FALSE),"Merchant not found")</f>
        <v/>
      </c>
      <c r="J30" s="2">
        <f>IFERROR(VLOOKUP(C30,Merchants!$A$2:$D$41,3,FALSE),"Merchant not found")</f>
        <v/>
      </c>
      <c r="K30" s="2">
        <f>IFERROR(VLOOKUP(C30,Merchants!$A$2:$D$41,4,FALSE),"Merchant not found")</f>
        <v/>
      </c>
      <c r="L30" s="2">
        <f>IFERROR(HLOOKUP(F30,Fee_Tiers!$B$4:$E$5,2,FALSE),0)</f>
        <v/>
      </c>
      <c r="M30" s="2">
        <f>IF(AND(E30&gt;500,K30&lt;&gt;"East"),"High-Value Merchant Day",IF(AND(E30&gt;500,K30="East"),"High-Value East (Excluded)",IF(E30&lt;=500,"Standard","Unknown")))</f>
        <v/>
      </c>
    </row>
    <row r="31">
      <c r="A31" s="2" t="inlineStr">
        <is>
          <t>TXN100029</t>
        </is>
      </c>
      <c r="B31" s="2" t="n">
        <v>3</v>
      </c>
      <c r="C31" s="2" t="n">
        <v>7</v>
      </c>
      <c r="D31" s="2" t="inlineStr">
        <is>
          <t>2026-01-05 20:44:00</t>
        </is>
      </c>
      <c r="E31" s="2" t="n">
        <v>1499</v>
      </c>
      <c r="F31" s="2" t="inlineStr">
        <is>
          <t>UPI</t>
        </is>
      </c>
      <c r="G31" s="2" t="inlineStr">
        <is>
          <t>captured</t>
        </is>
      </c>
      <c r="H31" s="2" t="n">
        <v>99</v>
      </c>
      <c r="I31" s="2">
        <f>IFERROR(VLOOKUP(C31,Merchants!$A$2:$D$41,2,FALSE),"Merchant not found")</f>
        <v/>
      </c>
      <c r="J31" s="2">
        <f>IFERROR(VLOOKUP(C31,Merchants!$A$2:$D$41,3,FALSE),"Merchant not found")</f>
        <v/>
      </c>
      <c r="K31" s="2">
        <f>IFERROR(VLOOKUP(C31,Merchants!$A$2:$D$41,4,FALSE),"Merchant not found")</f>
        <v/>
      </c>
      <c r="L31" s="2">
        <f>IFERROR(HLOOKUP(F31,Fee_Tiers!$B$4:$E$5,2,FALSE),0)</f>
        <v/>
      </c>
      <c r="M31" s="2">
        <f>IF(AND(E31&gt;500,K31&lt;&gt;"East"),"High-Value Merchant Day",IF(AND(E31&gt;500,K31="East"),"High-Value East (Excluded)",IF(E31&lt;=500,"Standard","Unknown")))</f>
        <v/>
      </c>
    </row>
    <row r="32">
      <c r="A32" s="2" t="inlineStr">
        <is>
          <t>TXN100030</t>
        </is>
      </c>
      <c r="B32" s="2" t="n">
        <v>266</v>
      </c>
      <c r="C32" s="2" t="n">
        <v>30</v>
      </c>
      <c r="D32" s="2" t="inlineStr">
        <is>
          <t>2026-01-14 07:11:00</t>
        </is>
      </c>
      <c r="E32" s="2" t="n">
        <v>499</v>
      </c>
      <c r="F32" s="2" t="inlineStr">
        <is>
          <t>Card</t>
        </is>
      </c>
      <c r="G32" s="2" t="inlineStr">
        <is>
          <t>captured</t>
        </is>
      </c>
      <c r="H32" s="2" t="n">
        <v>6</v>
      </c>
      <c r="I32" s="2">
        <f>IFERROR(VLOOKUP(C32,Merchants!$A$2:$D$41,2,FALSE),"Merchant not found")</f>
        <v/>
      </c>
      <c r="J32" s="2">
        <f>IFERROR(VLOOKUP(C32,Merchants!$A$2:$D$41,3,FALSE),"Merchant not found")</f>
        <v/>
      </c>
      <c r="K32" s="2">
        <f>IFERROR(VLOOKUP(C32,Merchants!$A$2:$D$41,4,FALSE),"Merchant not found")</f>
        <v/>
      </c>
      <c r="L32" s="2">
        <f>IFERROR(HLOOKUP(F32,Fee_Tiers!$B$4:$E$5,2,FALSE),0)</f>
        <v/>
      </c>
      <c r="M32" s="2">
        <f>IF(AND(E32&gt;500,K32&lt;&gt;"East"),"High-Value Merchant Day",IF(AND(E32&gt;500,K32="East"),"High-Value East (Excluded)",IF(E32&lt;=500,"Standard","Unknown")))</f>
        <v/>
      </c>
    </row>
    <row r="33">
      <c r="A33" s="2" t="inlineStr">
        <is>
          <t>TXN100031</t>
        </is>
      </c>
      <c r="B33" s="2" t="n">
        <v>63</v>
      </c>
      <c r="C33" s="2" t="n">
        <v>30</v>
      </c>
      <c r="D33" s="2" t="inlineStr">
        <is>
          <t>2026-01-18 07:58:00</t>
        </is>
      </c>
      <c r="E33" s="2" t="n">
        <v>799</v>
      </c>
      <c r="F33" s="2" t="inlineStr">
        <is>
          <t>UPI</t>
        </is>
      </c>
      <c r="G33" s="2" t="inlineStr">
        <is>
          <t>captured</t>
        </is>
      </c>
      <c r="H33" s="2" t="n">
        <v>17</v>
      </c>
      <c r="I33" s="2">
        <f>IFERROR(VLOOKUP(C33,Merchants!$A$2:$D$41,2,FALSE),"Merchant not found")</f>
        <v/>
      </c>
      <c r="J33" s="2">
        <f>IFERROR(VLOOKUP(C33,Merchants!$A$2:$D$41,3,FALSE),"Merchant not found")</f>
        <v/>
      </c>
      <c r="K33" s="2">
        <f>IFERROR(VLOOKUP(C33,Merchants!$A$2:$D$41,4,FALSE),"Merchant not found")</f>
        <v/>
      </c>
      <c r="L33" s="2">
        <f>IFERROR(HLOOKUP(F33,Fee_Tiers!$B$4:$E$5,2,FALSE),0)</f>
        <v/>
      </c>
      <c r="M33" s="2">
        <f>IF(AND(E33&gt;500,K33&lt;&gt;"East"),"High-Value Merchant Day",IF(AND(E33&gt;500,K33="East"),"High-Value East (Excluded)",IF(E33&lt;=500,"Standard","Unknown")))</f>
        <v/>
      </c>
    </row>
    <row r="34">
      <c r="A34" s="2" t="inlineStr">
        <is>
          <t>TXN100032</t>
        </is>
      </c>
      <c r="B34" s="2" t="n">
        <v>272</v>
      </c>
      <c r="C34" s="2" t="n">
        <v>36</v>
      </c>
      <c r="D34" s="2" t="inlineStr">
        <is>
          <t>2026-01-26 14:42:00</t>
        </is>
      </c>
      <c r="E34" s="2" t="n">
        <v>149</v>
      </c>
      <c r="F34" s="2" t="inlineStr">
        <is>
          <t>UPI</t>
        </is>
      </c>
      <c r="G34" s="2" t="inlineStr">
        <is>
          <t>captured</t>
        </is>
      </c>
      <c r="H34" s="2" t="n">
        <v>76</v>
      </c>
      <c r="I34" s="2">
        <f>IFERROR(VLOOKUP(C34,Merchants!$A$2:$D$41,2,FALSE),"Merchant not found")</f>
        <v/>
      </c>
      <c r="J34" s="2">
        <f>IFERROR(VLOOKUP(C34,Merchants!$A$2:$D$41,3,FALSE),"Merchant not found")</f>
        <v/>
      </c>
      <c r="K34" s="2">
        <f>IFERROR(VLOOKUP(C34,Merchants!$A$2:$D$41,4,FALSE),"Merchant not found")</f>
        <v/>
      </c>
      <c r="L34" s="2">
        <f>IFERROR(HLOOKUP(F34,Fee_Tiers!$B$4:$E$5,2,FALSE),0)</f>
        <v/>
      </c>
      <c r="M34" s="2">
        <f>IF(AND(E34&gt;500,K34&lt;&gt;"East"),"High-Value Merchant Day",IF(AND(E34&gt;500,K34="East"),"High-Value East (Excluded)",IF(E34&lt;=500,"Standard","Unknown")))</f>
        <v/>
      </c>
    </row>
    <row r="35">
      <c r="A35" s="2" t="inlineStr">
        <is>
          <t>TXN100033</t>
        </is>
      </c>
      <c r="B35" s="2" t="n">
        <v>259</v>
      </c>
      <c r="C35" s="2" t="n">
        <v>28</v>
      </c>
      <c r="D35" s="2" t="inlineStr">
        <is>
          <t>2026-01-11 14:39:00</t>
        </is>
      </c>
      <c r="E35" s="2" t="n">
        <v>49</v>
      </c>
      <c r="F35" s="2" t="inlineStr">
        <is>
          <t>Wallet</t>
        </is>
      </c>
      <c r="G35" s="2" t="inlineStr">
        <is>
          <t>captured</t>
        </is>
      </c>
      <c r="H35" s="2" t="n">
        <v>70</v>
      </c>
      <c r="I35" s="2">
        <f>IFERROR(VLOOKUP(C35,Merchants!$A$2:$D$41,2,FALSE),"Merchant not found")</f>
        <v/>
      </c>
      <c r="J35" s="2">
        <f>IFERROR(VLOOKUP(C35,Merchants!$A$2:$D$41,3,FALSE),"Merchant not found")</f>
        <v/>
      </c>
      <c r="K35" s="2">
        <f>IFERROR(VLOOKUP(C35,Merchants!$A$2:$D$41,4,FALSE),"Merchant not found")</f>
        <v/>
      </c>
      <c r="L35" s="2">
        <f>IFERROR(HLOOKUP(F35,Fee_Tiers!$B$4:$E$5,2,FALSE),0)</f>
        <v/>
      </c>
      <c r="M35" s="2">
        <f>IF(AND(E35&gt;500,K35&lt;&gt;"East"),"High-Value Merchant Day",IF(AND(E35&gt;500,K35="East"),"High-Value East (Excluded)",IF(E35&lt;=500,"Standard","Unknown")))</f>
        <v/>
      </c>
    </row>
    <row r="36">
      <c r="A36" s="2" t="inlineStr">
        <is>
          <t>TXN100034</t>
        </is>
      </c>
      <c r="B36" s="2" t="n">
        <v>244</v>
      </c>
      <c r="C36" s="2" t="n">
        <v>29</v>
      </c>
      <c r="D36" s="2" t="inlineStr">
        <is>
          <t>2026-01-15 05:47:00</t>
        </is>
      </c>
      <c r="E36" s="2" t="n">
        <v>299</v>
      </c>
      <c r="F36" s="2" t="inlineStr">
        <is>
          <t>Netbanking</t>
        </is>
      </c>
      <c r="G36" s="2" t="inlineStr">
        <is>
          <t>captured</t>
        </is>
      </c>
      <c r="H36" s="2" t="n">
        <v>33</v>
      </c>
      <c r="I36" s="2">
        <f>IFERROR(VLOOKUP(C36,Merchants!$A$2:$D$41,2,FALSE),"Merchant not found")</f>
        <v/>
      </c>
      <c r="J36" s="2">
        <f>IFERROR(VLOOKUP(C36,Merchants!$A$2:$D$41,3,FALSE),"Merchant not found")</f>
        <v/>
      </c>
      <c r="K36" s="2">
        <f>IFERROR(VLOOKUP(C36,Merchants!$A$2:$D$41,4,FALSE),"Merchant not found")</f>
        <v/>
      </c>
      <c r="L36" s="2">
        <f>IFERROR(HLOOKUP(F36,Fee_Tiers!$B$4:$E$5,2,FALSE),0)</f>
        <v/>
      </c>
      <c r="M36" s="2">
        <f>IF(AND(E36&gt;500,K36&lt;&gt;"East"),"High-Value Merchant Day",IF(AND(E36&gt;500,K36="East"),"High-Value East (Excluded)",IF(E36&lt;=500,"Standard","Unknown")))</f>
        <v/>
      </c>
    </row>
    <row r="37">
      <c r="A37" s="2" t="inlineStr">
        <is>
          <t>TXN100035</t>
        </is>
      </c>
      <c r="B37" s="2" t="n">
        <v>327</v>
      </c>
      <c r="C37" s="2" t="n">
        <v>18</v>
      </c>
      <c r="D37" s="2" t="inlineStr">
        <is>
          <t>2026-01-25 07:53:00</t>
        </is>
      </c>
      <c r="E37" s="2" t="n">
        <v>149</v>
      </c>
      <c r="F37" s="2" t="inlineStr">
        <is>
          <t>Card</t>
        </is>
      </c>
      <c r="G37" s="2" t="inlineStr">
        <is>
          <t>captured</t>
        </is>
      </c>
      <c r="H37" s="2" t="n">
        <v>98</v>
      </c>
      <c r="I37" s="2">
        <f>IFERROR(VLOOKUP(C37,Merchants!$A$2:$D$41,2,FALSE),"Merchant not found")</f>
        <v/>
      </c>
      <c r="J37" s="2">
        <f>IFERROR(VLOOKUP(C37,Merchants!$A$2:$D$41,3,FALSE),"Merchant not found")</f>
        <v/>
      </c>
      <c r="K37" s="2">
        <f>IFERROR(VLOOKUP(C37,Merchants!$A$2:$D$41,4,FALSE),"Merchant not found")</f>
        <v/>
      </c>
      <c r="L37" s="2">
        <f>IFERROR(HLOOKUP(F37,Fee_Tiers!$B$4:$E$5,2,FALSE),0)</f>
        <v/>
      </c>
      <c r="M37" s="2">
        <f>IF(AND(E37&gt;500,K37&lt;&gt;"East"),"High-Value Merchant Day",IF(AND(E37&gt;500,K37="East"),"High-Value East (Excluded)",IF(E37&lt;=500,"Standard","Unknown")))</f>
        <v/>
      </c>
    </row>
    <row r="38">
      <c r="A38" s="2" t="inlineStr">
        <is>
          <t>TXN100036</t>
        </is>
      </c>
      <c r="B38" s="2" t="n">
        <v>321</v>
      </c>
      <c r="C38" s="2" t="n">
        <v>16</v>
      </c>
      <c r="D38" s="2" t="inlineStr">
        <is>
          <t>2026-01-25 16:31:00</t>
        </is>
      </c>
      <c r="E38" s="2" t="n">
        <v>49</v>
      </c>
      <c r="F38" s="2" t="inlineStr">
        <is>
          <t>UPI</t>
        </is>
      </c>
      <c r="G38" s="2" t="inlineStr">
        <is>
          <t>captured</t>
        </is>
      </c>
      <c r="H38" s="2" t="n">
        <v>35</v>
      </c>
      <c r="I38" s="2">
        <f>IFERROR(VLOOKUP(C38,Merchants!$A$2:$D$41,2,FALSE),"Merchant not found")</f>
        <v/>
      </c>
      <c r="J38" s="2">
        <f>IFERROR(VLOOKUP(C38,Merchants!$A$2:$D$41,3,FALSE),"Merchant not found")</f>
        <v/>
      </c>
      <c r="K38" s="2">
        <f>IFERROR(VLOOKUP(C38,Merchants!$A$2:$D$41,4,FALSE),"Merchant not found")</f>
        <v/>
      </c>
      <c r="L38" s="2">
        <f>IFERROR(HLOOKUP(F38,Fee_Tiers!$B$4:$E$5,2,FALSE),0)</f>
        <v/>
      </c>
      <c r="M38" s="2">
        <f>IF(AND(E38&gt;500,K38&lt;&gt;"East"),"High-Value Merchant Day",IF(AND(E38&gt;500,K38="East"),"High-Value East (Excluded)",IF(E38&lt;=500,"Standard","Unknown")))</f>
        <v/>
      </c>
    </row>
    <row r="39">
      <c r="A39" s="2" t="inlineStr">
        <is>
          <t>TXN100037</t>
        </is>
      </c>
      <c r="B39" s="2" t="n">
        <v>147</v>
      </c>
      <c r="C39" s="2" t="n">
        <v>16</v>
      </c>
      <c r="D39" s="2" t="inlineStr">
        <is>
          <t>2026-01-15 02:45:00</t>
        </is>
      </c>
      <c r="E39" s="2" t="n">
        <v>2999</v>
      </c>
      <c r="F39" s="2" t="inlineStr">
        <is>
          <t>Card</t>
        </is>
      </c>
      <c r="G39" s="2" t="inlineStr">
        <is>
          <t>captured</t>
        </is>
      </c>
      <c r="H39" s="2" t="n">
        <v>34</v>
      </c>
      <c r="I39" s="2">
        <f>IFERROR(VLOOKUP(C39,Merchants!$A$2:$D$41,2,FALSE),"Merchant not found")</f>
        <v/>
      </c>
      <c r="J39" s="2">
        <f>IFERROR(VLOOKUP(C39,Merchants!$A$2:$D$41,3,FALSE),"Merchant not found")</f>
        <v/>
      </c>
      <c r="K39" s="2">
        <f>IFERROR(VLOOKUP(C39,Merchants!$A$2:$D$41,4,FALSE),"Merchant not found")</f>
        <v/>
      </c>
      <c r="L39" s="2">
        <f>IFERROR(HLOOKUP(F39,Fee_Tiers!$B$4:$E$5,2,FALSE),0)</f>
        <v/>
      </c>
      <c r="M39" s="2">
        <f>IF(AND(E39&gt;500,K39&lt;&gt;"East"),"High-Value Merchant Day",IF(AND(E39&gt;500,K39="East"),"High-Value East (Excluded)",IF(E39&lt;=500,"Standard","Unknown")))</f>
        <v/>
      </c>
    </row>
    <row r="40">
      <c r="A40" s="2" t="inlineStr">
        <is>
          <t>TXN100038</t>
        </is>
      </c>
      <c r="B40" s="2" t="n">
        <v>277</v>
      </c>
      <c r="C40" s="2" t="n">
        <v>6</v>
      </c>
      <c r="D40" s="2" t="inlineStr">
        <is>
          <t>2026-01-11 10:57:00</t>
        </is>
      </c>
      <c r="E40" s="2" t="n">
        <v>1499</v>
      </c>
      <c r="F40" s="2" t="inlineStr">
        <is>
          <t>Card</t>
        </is>
      </c>
      <c r="G40" s="2" t="inlineStr">
        <is>
          <t>captured</t>
        </is>
      </c>
      <c r="H40" s="2" t="n">
        <v>17</v>
      </c>
      <c r="I40" s="2">
        <f>IFERROR(VLOOKUP(C40,Merchants!$A$2:$D$41,2,FALSE),"Merchant not found")</f>
        <v/>
      </c>
      <c r="J40" s="2">
        <f>IFERROR(VLOOKUP(C40,Merchants!$A$2:$D$41,3,FALSE),"Merchant not found")</f>
        <v/>
      </c>
      <c r="K40" s="2">
        <f>IFERROR(VLOOKUP(C40,Merchants!$A$2:$D$41,4,FALSE),"Merchant not found")</f>
        <v/>
      </c>
      <c r="L40" s="2">
        <f>IFERROR(HLOOKUP(F40,Fee_Tiers!$B$4:$E$5,2,FALSE),0)</f>
        <v/>
      </c>
      <c r="M40" s="2">
        <f>IF(AND(E40&gt;500,K40&lt;&gt;"East"),"High-Value Merchant Day",IF(AND(E40&gt;500,K40="East"),"High-Value East (Excluded)",IF(E40&lt;=500,"Standard","Unknown")))</f>
        <v/>
      </c>
    </row>
    <row r="41">
      <c r="A41" s="2" t="inlineStr">
        <is>
          <t>TXN100039</t>
        </is>
      </c>
      <c r="B41" s="2" t="n">
        <v>79</v>
      </c>
      <c r="C41" s="2" t="n">
        <v>14</v>
      </c>
      <c r="D41" s="2" t="inlineStr">
        <is>
          <t>2026-01-05 07:24:00</t>
        </is>
      </c>
      <c r="E41" s="2" t="n">
        <v>1499</v>
      </c>
      <c r="F41" s="2" t="inlineStr">
        <is>
          <t>UPI</t>
        </is>
      </c>
      <c r="G41" s="2" t="inlineStr">
        <is>
          <t>captured</t>
        </is>
      </c>
      <c r="H41" s="2" t="n">
        <v>8</v>
      </c>
      <c r="I41" s="2">
        <f>IFERROR(VLOOKUP(C41,Merchants!$A$2:$D$41,2,FALSE),"Merchant not found")</f>
        <v/>
      </c>
      <c r="J41" s="2">
        <f>IFERROR(VLOOKUP(C41,Merchants!$A$2:$D$41,3,FALSE),"Merchant not found")</f>
        <v/>
      </c>
      <c r="K41" s="2">
        <f>IFERROR(VLOOKUP(C41,Merchants!$A$2:$D$41,4,FALSE),"Merchant not found")</f>
        <v/>
      </c>
      <c r="L41" s="2">
        <f>IFERROR(HLOOKUP(F41,Fee_Tiers!$B$4:$E$5,2,FALSE),0)</f>
        <v/>
      </c>
      <c r="M41" s="2">
        <f>IF(AND(E41&gt;500,K41&lt;&gt;"East"),"High-Value Merchant Day",IF(AND(E41&gt;500,K41="East"),"High-Value East (Excluded)",IF(E41&lt;=500,"Standard","Unknown")))</f>
        <v/>
      </c>
    </row>
    <row r="42">
      <c r="A42" s="2" t="inlineStr">
        <is>
          <t>TXN100040</t>
        </is>
      </c>
      <c r="B42" s="2" t="n">
        <v>278</v>
      </c>
      <c r="C42" s="2" t="n">
        <v>30</v>
      </c>
      <c r="D42" s="2" t="inlineStr">
        <is>
          <t>2026-01-14 13:21:00</t>
        </is>
      </c>
      <c r="E42" s="2" t="n">
        <v>1499</v>
      </c>
      <c r="F42" s="2" t="inlineStr">
        <is>
          <t>UPI</t>
        </is>
      </c>
      <c r="G42" s="2" t="inlineStr">
        <is>
          <t>captured</t>
        </is>
      </c>
      <c r="H42" s="2" t="n">
        <v>53</v>
      </c>
      <c r="I42" s="2">
        <f>IFERROR(VLOOKUP(C42,Merchants!$A$2:$D$41,2,FALSE),"Merchant not found")</f>
        <v/>
      </c>
      <c r="J42" s="2">
        <f>IFERROR(VLOOKUP(C42,Merchants!$A$2:$D$41,3,FALSE),"Merchant not found")</f>
        <v/>
      </c>
      <c r="K42" s="2">
        <f>IFERROR(VLOOKUP(C42,Merchants!$A$2:$D$41,4,FALSE),"Merchant not found")</f>
        <v/>
      </c>
      <c r="L42" s="2">
        <f>IFERROR(HLOOKUP(F42,Fee_Tiers!$B$4:$E$5,2,FALSE),0)</f>
        <v/>
      </c>
      <c r="M42" s="2">
        <f>IF(AND(E42&gt;500,K42&lt;&gt;"East"),"High-Value Merchant Day",IF(AND(E42&gt;500,K42="East"),"High-Value East (Excluded)",IF(E42&lt;=500,"Standard","Unknown")))</f>
        <v/>
      </c>
    </row>
    <row r="43">
      <c r="A43" s="2" t="inlineStr">
        <is>
          <t>TXN100041</t>
        </is>
      </c>
      <c r="B43" s="2" t="n">
        <v>216</v>
      </c>
      <c r="C43" s="2" t="n">
        <v>25</v>
      </c>
      <c r="D43" s="2" t="inlineStr">
        <is>
          <t>2026-01-02 06:53:00</t>
        </is>
      </c>
      <c r="E43" s="2" t="n">
        <v>99</v>
      </c>
      <c r="F43" s="2" t="inlineStr">
        <is>
          <t>UPI</t>
        </is>
      </c>
      <c r="G43" s="2" t="inlineStr">
        <is>
          <t>captured</t>
        </is>
      </c>
      <c r="H43" s="2" t="n">
        <v>98</v>
      </c>
      <c r="I43" s="2">
        <f>IFERROR(VLOOKUP(C43,Merchants!$A$2:$D$41,2,FALSE),"Merchant not found")</f>
        <v/>
      </c>
      <c r="J43" s="2">
        <f>IFERROR(VLOOKUP(C43,Merchants!$A$2:$D$41,3,FALSE),"Merchant not found")</f>
        <v/>
      </c>
      <c r="K43" s="2">
        <f>IFERROR(VLOOKUP(C43,Merchants!$A$2:$D$41,4,FALSE),"Merchant not found")</f>
        <v/>
      </c>
      <c r="L43" s="2">
        <f>IFERROR(HLOOKUP(F43,Fee_Tiers!$B$4:$E$5,2,FALSE),0)</f>
        <v/>
      </c>
      <c r="M43" s="2">
        <f>IF(AND(E43&gt;500,K43&lt;&gt;"East"),"High-Value Merchant Day",IF(AND(E43&gt;500,K43="East"),"High-Value East (Excluded)",IF(E43&lt;=500,"Standard","Unknown")))</f>
        <v/>
      </c>
    </row>
    <row r="44">
      <c r="A44" s="2" t="inlineStr">
        <is>
          <t>TXN100042</t>
        </is>
      </c>
      <c r="B44" s="2" t="n">
        <v>295</v>
      </c>
      <c r="C44" s="2" t="n">
        <v>25</v>
      </c>
      <c r="D44" s="2" t="inlineStr">
        <is>
          <t>2026-01-19 22:01:00</t>
        </is>
      </c>
      <c r="E44" s="2" t="n">
        <v>1499</v>
      </c>
      <c r="F44" s="2" t="inlineStr">
        <is>
          <t>UPI</t>
        </is>
      </c>
      <c r="G44" s="2" t="inlineStr">
        <is>
          <t>captured</t>
        </is>
      </c>
      <c r="H44" s="2" t="n">
        <v>61</v>
      </c>
      <c r="I44" s="2">
        <f>IFERROR(VLOOKUP(C44,Merchants!$A$2:$D$41,2,FALSE),"Merchant not found")</f>
        <v/>
      </c>
      <c r="J44" s="2">
        <f>IFERROR(VLOOKUP(C44,Merchants!$A$2:$D$41,3,FALSE),"Merchant not found")</f>
        <v/>
      </c>
      <c r="K44" s="2">
        <f>IFERROR(VLOOKUP(C44,Merchants!$A$2:$D$41,4,FALSE),"Merchant not found")</f>
        <v/>
      </c>
      <c r="L44" s="2">
        <f>IFERROR(HLOOKUP(F44,Fee_Tiers!$B$4:$E$5,2,FALSE),0)</f>
        <v/>
      </c>
      <c r="M44" s="2">
        <f>IF(AND(E44&gt;500,K44&lt;&gt;"East"),"High-Value Merchant Day",IF(AND(E44&gt;500,K44="East"),"High-Value East (Excluded)",IF(E44&lt;=500,"Standard","Unknown")))</f>
        <v/>
      </c>
    </row>
    <row r="45">
      <c r="A45" s="2" t="inlineStr">
        <is>
          <t>TXN100043</t>
        </is>
      </c>
      <c r="B45" s="2" t="n">
        <v>200</v>
      </c>
      <c r="C45" s="2" t="n">
        <v>27</v>
      </c>
      <c r="D45" s="2" t="inlineStr">
        <is>
          <t>2026-01-01 11:19:00</t>
        </is>
      </c>
      <c r="E45" s="2" t="n">
        <v>149</v>
      </c>
      <c r="F45" s="2" t="inlineStr">
        <is>
          <t>UPI</t>
        </is>
      </c>
      <c r="G45" s="2" t="inlineStr">
        <is>
          <t>captured</t>
        </is>
      </c>
      <c r="H45" s="2" t="n">
        <v>68</v>
      </c>
      <c r="I45" s="2">
        <f>IFERROR(VLOOKUP(C45,Merchants!$A$2:$D$41,2,FALSE),"Merchant not found")</f>
        <v/>
      </c>
      <c r="J45" s="2">
        <f>IFERROR(VLOOKUP(C45,Merchants!$A$2:$D$41,3,FALSE),"Merchant not found")</f>
        <v/>
      </c>
      <c r="K45" s="2">
        <f>IFERROR(VLOOKUP(C45,Merchants!$A$2:$D$41,4,FALSE),"Merchant not found")</f>
        <v/>
      </c>
      <c r="L45" s="2">
        <f>IFERROR(HLOOKUP(F45,Fee_Tiers!$B$4:$E$5,2,FALSE),0)</f>
        <v/>
      </c>
      <c r="M45" s="2">
        <f>IF(AND(E45&gt;500,K45&lt;&gt;"East"),"High-Value Merchant Day",IF(AND(E45&gt;500,K45="East"),"High-Value East (Excluded)",IF(E45&lt;=500,"Standard","Unknown")))</f>
        <v/>
      </c>
    </row>
    <row r="46">
      <c r="A46" s="2" t="inlineStr">
        <is>
          <t>TXN100044</t>
        </is>
      </c>
      <c r="B46" s="2" t="n">
        <v>309</v>
      </c>
      <c r="C46" s="2" t="n">
        <v>15</v>
      </c>
      <c r="D46" s="2" t="inlineStr">
        <is>
          <t>2026-01-24 23:34:00</t>
        </is>
      </c>
      <c r="E46" s="2" t="n">
        <v>99</v>
      </c>
      <c r="F46" s="2" t="inlineStr">
        <is>
          <t>Netbanking</t>
        </is>
      </c>
      <c r="G46" s="2" t="inlineStr">
        <is>
          <t>captured</t>
        </is>
      </c>
      <c r="H46" s="2" t="n">
        <v>62</v>
      </c>
      <c r="I46" s="2">
        <f>IFERROR(VLOOKUP(C46,Merchants!$A$2:$D$41,2,FALSE),"Merchant not found")</f>
        <v/>
      </c>
      <c r="J46" s="2">
        <f>IFERROR(VLOOKUP(C46,Merchants!$A$2:$D$41,3,FALSE),"Merchant not found")</f>
        <v/>
      </c>
      <c r="K46" s="2">
        <f>IFERROR(VLOOKUP(C46,Merchants!$A$2:$D$41,4,FALSE),"Merchant not found")</f>
        <v/>
      </c>
      <c r="L46" s="2">
        <f>IFERROR(HLOOKUP(F46,Fee_Tiers!$B$4:$E$5,2,FALSE),0)</f>
        <v/>
      </c>
      <c r="M46" s="2">
        <f>IF(AND(E46&gt;500,K46&lt;&gt;"East"),"High-Value Merchant Day",IF(AND(E46&gt;500,K46="East"),"High-Value East (Excluded)",IF(E46&lt;=500,"Standard","Unknown")))</f>
        <v/>
      </c>
    </row>
    <row r="47">
      <c r="A47" s="2" t="inlineStr">
        <is>
          <t>TXN100045</t>
        </is>
      </c>
      <c r="B47" s="2" t="n">
        <v>249</v>
      </c>
      <c r="C47" s="2" t="n">
        <v>2</v>
      </c>
      <c r="D47" s="2" t="inlineStr">
        <is>
          <t>2026-01-08 08:27:00</t>
        </is>
      </c>
      <c r="E47" s="2" t="n">
        <v>299</v>
      </c>
      <c r="F47" s="2" t="inlineStr">
        <is>
          <t>Wallet</t>
        </is>
      </c>
      <c r="G47" s="2" t="inlineStr">
        <is>
          <t>captured</t>
        </is>
      </c>
      <c r="H47" s="2" t="n">
        <v>49</v>
      </c>
      <c r="I47" s="2">
        <f>IFERROR(VLOOKUP(C47,Merchants!$A$2:$D$41,2,FALSE),"Merchant not found")</f>
        <v/>
      </c>
      <c r="J47" s="2">
        <f>IFERROR(VLOOKUP(C47,Merchants!$A$2:$D$41,3,FALSE),"Merchant not found")</f>
        <v/>
      </c>
      <c r="K47" s="2">
        <f>IFERROR(VLOOKUP(C47,Merchants!$A$2:$D$41,4,FALSE),"Merchant not found")</f>
        <v/>
      </c>
      <c r="L47" s="2">
        <f>IFERROR(HLOOKUP(F47,Fee_Tiers!$B$4:$E$5,2,FALSE),0)</f>
        <v/>
      </c>
      <c r="M47" s="2">
        <f>IF(AND(E47&gt;500,K47&lt;&gt;"East"),"High-Value Merchant Day",IF(AND(E47&gt;500,K47="East"),"High-Value East (Excluded)",IF(E47&lt;=500,"Standard","Unknown")))</f>
        <v/>
      </c>
    </row>
    <row r="48">
      <c r="A48" s="2" t="inlineStr">
        <is>
          <t>TXN100046</t>
        </is>
      </c>
      <c r="B48" s="2" t="n">
        <v>208</v>
      </c>
      <c r="C48" s="2" t="n">
        <v>11</v>
      </c>
      <c r="D48" s="2" t="inlineStr">
        <is>
          <t>2026-01-11 21:43:00</t>
        </is>
      </c>
      <c r="E48" s="2" t="n">
        <v>4999</v>
      </c>
      <c r="F48" s="2" t="inlineStr">
        <is>
          <t>Netbanking</t>
        </is>
      </c>
      <c r="G48" s="2" t="inlineStr">
        <is>
          <t>captured</t>
        </is>
      </c>
      <c r="H48" s="2" t="n">
        <v>59</v>
      </c>
      <c r="I48" s="2">
        <f>IFERROR(VLOOKUP(C48,Merchants!$A$2:$D$41,2,FALSE),"Merchant not found")</f>
        <v/>
      </c>
      <c r="J48" s="2">
        <f>IFERROR(VLOOKUP(C48,Merchants!$A$2:$D$41,3,FALSE),"Merchant not found")</f>
        <v/>
      </c>
      <c r="K48" s="2">
        <f>IFERROR(VLOOKUP(C48,Merchants!$A$2:$D$41,4,FALSE),"Merchant not found")</f>
        <v/>
      </c>
      <c r="L48" s="2">
        <f>IFERROR(HLOOKUP(F48,Fee_Tiers!$B$4:$E$5,2,FALSE),0)</f>
        <v/>
      </c>
      <c r="M48" s="2">
        <f>IF(AND(E48&gt;500,K48&lt;&gt;"East"),"High-Value Merchant Day",IF(AND(E48&gt;500,K48="East"),"High-Value East (Excluded)",IF(E48&lt;=500,"Standard","Unknown")))</f>
        <v/>
      </c>
    </row>
    <row r="49">
      <c r="A49" s="2" t="inlineStr">
        <is>
          <t>TXN100047</t>
        </is>
      </c>
      <c r="B49" s="2" t="n">
        <v>274</v>
      </c>
      <c r="C49" s="2" t="n">
        <v>2</v>
      </c>
      <c r="D49" s="2" t="inlineStr">
        <is>
          <t>2026-01-30 04:39:00</t>
        </is>
      </c>
      <c r="E49" s="2" t="n">
        <v>299</v>
      </c>
      <c r="F49" s="2" t="inlineStr">
        <is>
          <t>UPI</t>
        </is>
      </c>
      <c r="G49" s="2" t="inlineStr">
        <is>
          <t>captured</t>
        </is>
      </c>
      <c r="H49" s="2" t="n">
        <v>50</v>
      </c>
      <c r="I49" s="2">
        <f>IFERROR(VLOOKUP(C49,Merchants!$A$2:$D$41,2,FALSE),"Merchant not found")</f>
        <v/>
      </c>
      <c r="J49" s="2">
        <f>IFERROR(VLOOKUP(C49,Merchants!$A$2:$D$41,3,FALSE),"Merchant not found")</f>
        <v/>
      </c>
      <c r="K49" s="2">
        <f>IFERROR(VLOOKUP(C49,Merchants!$A$2:$D$41,4,FALSE),"Merchant not found")</f>
        <v/>
      </c>
      <c r="L49" s="2">
        <f>IFERROR(HLOOKUP(F49,Fee_Tiers!$B$4:$E$5,2,FALSE),0)</f>
        <v/>
      </c>
      <c r="M49" s="2">
        <f>IF(AND(E49&gt;500,K49&lt;&gt;"East"),"High-Value Merchant Day",IF(AND(E49&gt;500,K49="East"),"High-Value East (Excluded)",IF(E49&lt;=500,"Standard","Unknown")))</f>
        <v/>
      </c>
    </row>
    <row r="50">
      <c r="A50" s="2" t="inlineStr">
        <is>
          <t>TXN100048</t>
        </is>
      </c>
      <c r="B50" s="2" t="n">
        <v>14</v>
      </c>
      <c r="C50" s="2" t="n">
        <v>6</v>
      </c>
      <c r="D50" s="2" t="inlineStr">
        <is>
          <t>2026-01-19 18:42:00</t>
        </is>
      </c>
      <c r="E50" s="2" t="n">
        <v>49</v>
      </c>
      <c r="F50" s="2" t="inlineStr">
        <is>
          <t>Wallet</t>
        </is>
      </c>
      <c r="G50" s="2" t="inlineStr">
        <is>
          <t>captured</t>
        </is>
      </c>
      <c r="H50" s="2" t="n">
        <v>82</v>
      </c>
      <c r="I50" s="2">
        <f>IFERROR(VLOOKUP(C50,Merchants!$A$2:$D$41,2,FALSE),"Merchant not found")</f>
        <v/>
      </c>
      <c r="J50" s="2">
        <f>IFERROR(VLOOKUP(C50,Merchants!$A$2:$D$41,3,FALSE),"Merchant not found")</f>
        <v/>
      </c>
      <c r="K50" s="2">
        <f>IFERROR(VLOOKUP(C50,Merchants!$A$2:$D$41,4,FALSE),"Merchant not found")</f>
        <v/>
      </c>
      <c r="L50" s="2">
        <f>IFERROR(HLOOKUP(F50,Fee_Tiers!$B$4:$E$5,2,FALSE),0)</f>
        <v/>
      </c>
      <c r="M50" s="2">
        <f>IF(AND(E50&gt;500,K50&lt;&gt;"East"),"High-Value Merchant Day",IF(AND(E50&gt;500,K50="East"),"High-Value East (Excluded)",IF(E50&lt;=500,"Standard","Unknown")))</f>
        <v/>
      </c>
    </row>
    <row r="51">
      <c r="A51" s="2" t="inlineStr">
        <is>
          <t>TXN100049</t>
        </is>
      </c>
      <c r="B51" s="2" t="n">
        <v>237</v>
      </c>
      <c r="C51" s="2" t="n">
        <v>12</v>
      </c>
      <c r="D51" s="2" t="inlineStr">
        <is>
          <t>2026-01-14 04:55:00</t>
        </is>
      </c>
      <c r="E51" s="2" t="n">
        <v>49</v>
      </c>
      <c r="F51" s="2" t="inlineStr">
        <is>
          <t>UPI</t>
        </is>
      </c>
      <c r="G51" s="2" t="inlineStr">
        <is>
          <t>captured</t>
        </is>
      </c>
      <c r="H51" s="2" t="n">
        <v>6</v>
      </c>
      <c r="I51" s="2">
        <f>IFERROR(VLOOKUP(C51,Merchants!$A$2:$D$41,2,FALSE),"Merchant not found")</f>
        <v/>
      </c>
      <c r="J51" s="2">
        <f>IFERROR(VLOOKUP(C51,Merchants!$A$2:$D$41,3,FALSE),"Merchant not found")</f>
        <v/>
      </c>
      <c r="K51" s="2">
        <f>IFERROR(VLOOKUP(C51,Merchants!$A$2:$D$41,4,FALSE),"Merchant not found")</f>
        <v/>
      </c>
      <c r="L51" s="2">
        <f>IFERROR(HLOOKUP(F51,Fee_Tiers!$B$4:$E$5,2,FALSE),0)</f>
        <v/>
      </c>
      <c r="M51" s="2">
        <f>IF(AND(E51&gt;500,K51&lt;&gt;"East"),"High-Value Merchant Day",IF(AND(E51&gt;500,K51="East"),"High-Value East (Excluded)",IF(E51&lt;=500,"Standard","Unknown")))</f>
        <v/>
      </c>
    </row>
    <row r="52">
      <c r="A52" s="2" t="inlineStr">
        <is>
          <t>TXN100050</t>
        </is>
      </c>
      <c r="B52" s="2" t="n">
        <v>109</v>
      </c>
      <c r="C52" s="2" t="n">
        <v>30</v>
      </c>
      <c r="D52" s="2" t="inlineStr">
        <is>
          <t>2026-01-09 12:20:00</t>
        </is>
      </c>
      <c r="E52" s="2" t="n">
        <v>99</v>
      </c>
      <c r="F52" s="2" t="inlineStr">
        <is>
          <t>UPI</t>
        </is>
      </c>
      <c r="G52" s="2" t="inlineStr">
        <is>
          <t>captured</t>
        </is>
      </c>
      <c r="H52" s="2" t="n">
        <v>41</v>
      </c>
      <c r="I52" s="2">
        <f>IFERROR(VLOOKUP(C52,Merchants!$A$2:$D$41,2,FALSE),"Merchant not found")</f>
        <v/>
      </c>
      <c r="J52" s="2">
        <f>IFERROR(VLOOKUP(C52,Merchants!$A$2:$D$41,3,FALSE),"Merchant not found")</f>
        <v/>
      </c>
      <c r="K52" s="2">
        <f>IFERROR(VLOOKUP(C52,Merchants!$A$2:$D$41,4,FALSE),"Merchant not found")</f>
        <v/>
      </c>
      <c r="L52" s="2">
        <f>IFERROR(HLOOKUP(F52,Fee_Tiers!$B$4:$E$5,2,FALSE),0)</f>
        <v/>
      </c>
      <c r="M52" s="2">
        <f>IF(AND(E52&gt;500,K52&lt;&gt;"East"),"High-Value Merchant Day",IF(AND(E52&gt;500,K52="East"),"High-Value East (Excluded)",IF(E52&lt;=500,"Standard","Unknown")))</f>
        <v/>
      </c>
    </row>
    <row r="53">
      <c r="A53" s="2" t="inlineStr">
        <is>
          <t>TXN100051</t>
        </is>
      </c>
      <c r="B53" s="2" t="n">
        <v>216</v>
      </c>
      <c r="C53" s="2" t="n">
        <v>17</v>
      </c>
      <c r="D53" s="2" t="inlineStr">
        <is>
          <t>2026-01-11 12:17:00</t>
        </is>
      </c>
      <c r="E53" s="2" t="n">
        <v>4999</v>
      </c>
      <c r="F53" s="2" t="inlineStr">
        <is>
          <t>UPI</t>
        </is>
      </c>
      <c r="G53" s="2" t="inlineStr">
        <is>
          <t>captured</t>
        </is>
      </c>
      <c r="H53" s="2" t="n">
        <v>10</v>
      </c>
      <c r="I53" s="2">
        <f>IFERROR(VLOOKUP(C53,Merchants!$A$2:$D$41,2,FALSE),"Merchant not found")</f>
        <v/>
      </c>
      <c r="J53" s="2">
        <f>IFERROR(VLOOKUP(C53,Merchants!$A$2:$D$41,3,FALSE),"Merchant not found")</f>
        <v/>
      </c>
      <c r="K53" s="2">
        <f>IFERROR(VLOOKUP(C53,Merchants!$A$2:$D$41,4,FALSE),"Merchant not found")</f>
        <v/>
      </c>
      <c r="L53" s="2">
        <f>IFERROR(HLOOKUP(F53,Fee_Tiers!$B$4:$E$5,2,FALSE),0)</f>
        <v/>
      </c>
      <c r="M53" s="2">
        <f>IF(AND(E53&gt;500,K53&lt;&gt;"East"),"High-Value Merchant Day",IF(AND(E53&gt;500,K53="East"),"High-Value East (Excluded)",IF(E53&lt;=500,"Standard","Unknown")))</f>
        <v/>
      </c>
    </row>
    <row r="54">
      <c r="A54" s="2" t="inlineStr">
        <is>
          <t>TXN100052</t>
        </is>
      </c>
      <c r="B54" s="2" t="n">
        <v>277</v>
      </c>
      <c r="C54" s="2" t="n">
        <v>4</v>
      </c>
      <c r="D54" s="2" t="inlineStr">
        <is>
          <t>2026-01-16 00:47:00</t>
        </is>
      </c>
      <c r="E54" s="2" t="n">
        <v>799</v>
      </c>
      <c r="F54" s="2" t="inlineStr">
        <is>
          <t>UPI</t>
        </is>
      </c>
      <c r="G54" s="2" t="inlineStr">
        <is>
          <t>captured</t>
        </is>
      </c>
      <c r="H54" s="2" t="n">
        <v>44</v>
      </c>
      <c r="I54" s="2">
        <f>IFERROR(VLOOKUP(C54,Merchants!$A$2:$D$41,2,FALSE),"Merchant not found")</f>
        <v/>
      </c>
      <c r="J54" s="2">
        <f>IFERROR(VLOOKUP(C54,Merchants!$A$2:$D$41,3,FALSE),"Merchant not found")</f>
        <v/>
      </c>
      <c r="K54" s="2">
        <f>IFERROR(VLOOKUP(C54,Merchants!$A$2:$D$41,4,FALSE),"Merchant not found")</f>
        <v/>
      </c>
      <c r="L54" s="2">
        <f>IFERROR(HLOOKUP(F54,Fee_Tiers!$B$4:$E$5,2,FALSE),0)</f>
        <v/>
      </c>
      <c r="M54" s="2">
        <f>IF(AND(E54&gt;500,K54&lt;&gt;"East"),"High-Value Merchant Day",IF(AND(E54&gt;500,K54="East"),"High-Value East (Excluded)",IF(E54&lt;=500,"Standard","Unknown")))</f>
        <v/>
      </c>
    </row>
    <row r="55">
      <c r="A55" s="2" t="inlineStr">
        <is>
          <t>TXN100053</t>
        </is>
      </c>
      <c r="B55" s="2" t="n">
        <v>334</v>
      </c>
      <c r="C55" s="2" t="n">
        <v>3</v>
      </c>
      <c r="D55" s="2" t="inlineStr">
        <is>
          <t>2026-01-08 20:04:00</t>
        </is>
      </c>
      <c r="E55" s="2" t="n">
        <v>149</v>
      </c>
      <c r="F55" s="2" t="inlineStr">
        <is>
          <t>Wallet</t>
        </is>
      </c>
      <c r="G55" s="2" t="inlineStr">
        <is>
          <t>captured</t>
        </is>
      </c>
      <c r="H55" s="2" t="n">
        <v>96</v>
      </c>
      <c r="I55" s="2">
        <f>IFERROR(VLOOKUP(C55,Merchants!$A$2:$D$41,2,FALSE),"Merchant not found")</f>
        <v/>
      </c>
      <c r="J55" s="2">
        <f>IFERROR(VLOOKUP(C55,Merchants!$A$2:$D$41,3,FALSE),"Merchant not found")</f>
        <v/>
      </c>
      <c r="K55" s="2">
        <f>IFERROR(VLOOKUP(C55,Merchants!$A$2:$D$41,4,FALSE),"Merchant not found")</f>
        <v/>
      </c>
      <c r="L55" s="2">
        <f>IFERROR(HLOOKUP(F55,Fee_Tiers!$B$4:$E$5,2,FALSE),0)</f>
        <v/>
      </c>
      <c r="M55" s="2">
        <f>IF(AND(E55&gt;500,K55&lt;&gt;"East"),"High-Value Merchant Day",IF(AND(E55&gt;500,K55="East"),"High-Value East (Excluded)",IF(E55&lt;=500,"Standard","Unknown")))</f>
        <v/>
      </c>
    </row>
    <row r="56">
      <c r="A56" s="2" t="inlineStr">
        <is>
          <t>TXN100054</t>
        </is>
      </c>
      <c r="B56" s="2" t="n">
        <v>11</v>
      </c>
      <c r="C56" s="2" t="n">
        <v>40</v>
      </c>
      <c r="D56" s="2" t="inlineStr">
        <is>
          <t>2026-01-01 07:12:00</t>
        </is>
      </c>
      <c r="E56" s="2" t="n">
        <v>299</v>
      </c>
      <c r="F56" s="2" t="inlineStr">
        <is>
          <t>UPI</t>
        </is>
      </c>
      <c r="G56" s="2" t="inlineStr">
        <is>
          <t>captured</t>
        </is>
      </c>
      <c r="H56" s="2" t="n">
        <v>19</v>
      </c>
      <c r="I56" s="2">
        <f>IFERROR(VLOOKUP(C56,Merchants!$A$2:$D$41,2,FALSE),"Merchant not found")</f>
        <v/>
      </c>
      <c r="J56" s="2">
        <f>IFERROR(VLOOKUP(C56,Merchants!$A$2:$D$41,3,FALSE),"Merchant not found")</f>
        <v/>
      </c>
      <c r="K56" s="2">
        <f>IFERROR(VLOOKUP(C56,Merchants!$A$2:$D$41,4,FALSE),"Merchant not found")</f>
        <v/>
      </c>
      <c r="L56" s="2">
        <f>IFERROR(HLOOKUP(F56,Fee_Tiers!$B$4:$E$5,2,FALSE),0)</f>
        <v/>
      </c>
      <c r="M56" s="2">
        <f>IF(AND(E56&gt;500,K56&lt;&gt;"East"),"High-Value Merchant Day",IF(AND(E56&gt;500,K56="East"),"High-Value East (Excluded)",IF(E56&lt;=500,"Standard","Unknown")))</f>
        <v/>
      </c>
    </row>
    <row r="57">
      <c r="A57" s="2" t="inlineStr">
        <is>
          <t>TXN100055</t>
        </is>
      </c>
      <c r="B57" s="2" t="n">
        <v>343</v>
      </c>
      <c r="C57" s="2" t="n">
        <v>8</v>
      </c>
      <c r="D57" s="2" t="inlineStr">
        <is>
          <t>2026-01-08 04:30:00</t>
        </is>
      </c>
      <c r="E57" s="2" t="n">
        <v>99</v>
      </c>
      <c r="F57" s="2" t="inlineStr">
        <is>
          <t>UPI</t>
        </is>
      </c>
      <c r="G57" s="2" t="inlineStr">
        <is>
          <t>captured</t>
        </is>
      </c>
      <c r="H57" s="2" t="n">
        <v>72</v>
      </c>
      <c r="I57" s="2">
        <f>IFERROR(VLOOKUP(C57,Merchants!$A$2:$D$41,2,FALSE),"Merchant not found")</f>
        <v/>
      </c>
      <c r="J57" s="2">
        <f>IFERROR(VLOOKUP(C57,Merchants!$A$2:$D$41,3,FALSE),"Merchant not found")</f>
        <v/>
      </c>
      <c r="K57" s="2">
        <f>IFERROR(VLOOKUP(C57,Merchants!$A$2:$D$41,4,FALSE),"Merchant not found")</f>
        <v/>
      </c>
      <c r="L57" s="2">
        <f>IFERROR(HLOOKUP(F57,Fee_Tiers!$B$4:$E$5,2,FALSE),0)</f>
        <v/>
      </c>
      <c r="M57" s="2">
        <f>IF(AND(E57&gt;500,K57&lt;&gt;"East"),"High-Value Merchant Day",IF(AND(E57&gt;500,K57="East"),"High-Value East (Excluded)",IF(E57&lt;=500,"Standard","Unknown")))</f>
        <v/>
      </c>
    </row>
    <row r="58">
      <c r="A58" s="2" t="inlineStr">
        <is>
          <t>TXN100056</t>
        </is>
      </c>
      <c r="B58" s="2" t="n">
        <v>132</v>
      </c>
      <c r="C58" s="2" t="n">
        <v>24</v>
      </c>
      <c r="D58" s="2" t="inlineStr">
        <is>
          <t>2026-01-07 14:44:00</t>
        </is>
      </c>
      <c r="E58" s="2" t="n">
        <v>299</v>
      </c>
      <c r="F58" s="2" t="inlineStr">
        <is>
          <t>Wallet</t>
        </is>
      </c>
      <c r="G58" s="2" t="inlineStr">
        <is>
          <t>captured</t>
        </is>
      </c>
      <c r="H58" s="2" t="n">
        <v>21</v>
      </c>
      <c r="I58" s="2">
        <f>IFERROR(VLOOKUP(C58,Merchants!$A$2:$D$41,2,FALSE),"Merchant not found")</f>
        <v/>
      </c>
      <c r="J58" s="2">
        <f>IFERROR(VLOOKUP(C58,Merchants!$A$2:$D$41,3,FALSE),"Merchant not found")</f>
        <v/>
      </c>
      <c r="K58" s="2">
        <f>IFERROR(VLOOKUP(C58,Merchants!$A$2:$D$41,4,FALSE),"Merchant not found")</f>
        <v/>
      </c>
      <c r="L58" s="2">
        <f>IFERROR(HLOOKUP(F58,Fee_Tiers!$B$4:$E$5,2,FALSE),0)</f>
        <v/>
      </c>
      <c r="M58" s="2">
        <f>IF(AND(E58&gt;500,K58&lt;&gt;"East"),"High-Value Merchant Day",IF(AND(E58&gt;500,K58="East"),"High-Value East (Excluded)",IF(E58&lt;=500,"Standard","Unknown")))</f>
        <v/>
      </c>
    </row>
    <row r="59">
      <c r="A59" s="2" t="inlineStr">
        <is>
          <t>TXN100057</t>
        </is>
      </c>
      <c r="B59" s="2" t="n">
        <v>59</v>
      </c>
      <c r="C59" s="2" t="n">
        <v>11</v>
      </c>
      <c r="D59" s="2" t="inlineStr">
        <is>
          <t>2026-01-20 19:47:00</t>
        </is>
      </c>
      <c r="E59" s="2" t="n">
        <v>299</v>
      </c>
      <c r="F59" s="2" t="inlineStr">
        <is>
          <t>UPI</t>
        </is>
      </c>
      <c r="G59" s="2" t="inlineStr">
        <is>
          <t>captured</t>
        </is>
      </c>
      <c r="H59" s="2" t="n">
        <v>39</v>
      </c>
      <c r="I59" s="2">
        <f>IFERROR(VLOOKUP(C59,Merchants!$A$2:$D$41,2,FALSE),"Merchant not found")</f>
        <v/>
      </c>
      <c r="J59" s="2">
        <f>IFERROR(VLOOKUP(C59,Merchants!$A$2:$D$41,3,FALSE),"Merchant not found")</f>
        <v/>
      </c>
      <c r="K59" s="2">
        <f>IFERROR(VLOOKUP(C59,Merchants!$A$2:$D$41,4,FALSE),"Merchant not found")</f>
        <v/>
      </c>
      <c r="L59" s="2">
        <f>IFERROR(HLOOKUP(F59,Fee_Tiers!$B$4:$E$5,2,FALSE),0)</f>
        <v/>
      </c>
      <c r="M59" s="2">
        <f>IF(AND(E59&gt;500,K59&lt;&gt;"East"),"High-Value Merchant Day",IF(AND(E59&gt;500,K59="East"),"High-Value East (Excluded)",IF(E59&lt;=500,"Standard","Unknown")))</f>
        <v/>
      </c>
    </row>
    <row r="60">
      <c r="A60" s="2" t="inlineStr">
        <is>
          <t>TXN100058</t>
        </is>
      </c>
      <c r="B60" s="2" t="n">
        <v>160</v>
      </c>
      <c r="C60" s="2" t="n">
        <v>37</v>
      </c>
      <c r="D60" s="2" t="inlineStr">
        <is>
          <t>2026-01-04 18:01:00</t>
        </is>
      </c>
      <c r="E60" s="2" t="n">
        <v>49</v>
      </c>
      <c r="F60" s="2" t="inlineStr">
        <is>
          <t>Wallet</t>
        </is>
      </c>
      <c r="G60" s="2" t="inlineStr">
        <is>
          <t>captured</t>
        </is>
      </c>
      <c r="H60" s="2" t="n">
        <v>86</v>
      </c>
      <c r="I60" s="2">
        <f>IFERROR(VLOOKUP(C60,Merchants!$A$2:$D$41,2,FALSE),"Merchant not found")</f>
        <v/>
      </c>
      <c r="J60" s="2">
        <f>IFERROR(VLOOKUP(C60,Merchants!$A$2:$D$41,3,FALSE),"Merchant not found")</f>
        <v/>
      </c>
      <c r="K60" s="2">
        <f>IFERROR(VLOOKUP(C60,Merchants!$A$2:$D$41,4,FALSE),"Merchant not found")</f>
        <v/>
      </c>
      <c r="L60" s="2">
        <f>IFERROR(HLOOKUP(F60,Fee_Tiers!$B$4:$E$5,2,FALSE),0)</f>
        <v/>
      </c>
      <c r="M60" s="2">
        <f>IF(AND(E60&gt;500,K60&lt;&gt;"East"),"High-Value Merchant Day",IF(AND(E60&gt;500,K60="East"),"High-Value East (Excluded)",IF(E60&lt;=500,"Standard","Unknown")))</f>
        <v/>
      </c>
    </row>
    <row r="61">
      <c r="A61" s="2" t="inlineStr">
        <is>
          <t>TXN100059</t>
        </is>
      </c>
      <c r="B61" s="2" t="n">
        <v>102</v>
      </c>
      <c r="C61" s="2" t="n">
        <v>5</v>
      </c>
      <c r="D61" s="2" t="inlineStr">
        <is>
          <t>2026-01-30 12:25:00</t>
        </is>
      </c>
      <c r="E61" s="2" t="n">
        <v>2999</v>
      </c>
      <c r="F61" s="2" t="inlineStr">
        <is>
          <t>UPI</t>
        </is>
      </c>
      <c r="G61" s="2" t="inlineStr">
        <is>
          <t>captured</t>
        </is>
      </c>
      <c r="H61" s="2" t="n">
        <v>75</v>
      </c>
      <c r="I61" s="2">
        <f>IFERROR(VLOOKUP(C61,Merchants!$A$2:$D$41,2,FALSE),"Merchant not found")</f>
        <v/>
      </c>
      <c r="J61" s="2">
        <f>IFERROR(VLOOKUP(C61,Merchants!$A$2:$D$41,3,FALSE),"Merchant not found")</f>
        <v/>
      </c>
      <c r="K61" s="2">
        <f>IFERROR(VLOOKUP(C61,Merchants!$A$2:$D$41,4,FALSE),"Merchant not found")</f>
        <v/>
      </c>
      <c r="L61" s="2">
        <f>IFERROR(HLOOKUP(F61,Fee_Tiers!$B$4:$E$5,2,FALSE),0)</f>
        <v/>
      </c>
      <c r="M61" s="2">
        <f>IF(AND(E61&gt;500,K61&lt;&gt;"East"),"High-Value Merchant Day",IF(AND(E61&gt;500,K61="East"),"High-Value East (Excluded)",IF(E61&lt;=500,"Standard","Unknown")))</f>
        <v/>
      </c>
    </row>
    <row r="62">
      <c r="A62" s="2" t="inlineStr">
        <is>
          <t>TXN100060</t>
        </is>
      </c>
      <c r="B62" s="2" t="n">
        <v>53</v>
      </c>
      <c r="C62" s="2" t="n">
        <v>20</v>
      </c>
      <c r="D62" s="2" t="inlineStr">
        <is>
          <t>2026-01-23 20:15:00</t>
        </is>
      </c>
      <c r="E62" s="2" t="n">
        <v>49</v>
      </c>
      <c r="F62" s="2" t="inlineStr">
        <is>
          <t>Netbanking</t>
        </is>
      </c>
      <c r="G62" s="2" t="inlineStr">
        <is>
          <t>captured</t>
        </is>
      </c>
      <c r="H62" s="2" t="n">
        <v>87</v>
      </c>
      <c r="I62" s="2">
        <f>IFERROR(VLOOKUP(C62,Merchants!$A$2:$D$41,2,FALSE),"Merchant not found")</f>
        <v/>
      </c>
      <c r="J62" s="2">
        <f>IFERROR(VLOOKUP(C62,Merchants!$A$2:$D$41,3,FALSE),"Merchant not found")</f>
        <v/>
      </c>
      <c r="K62" s="2">
        <f>IFERROR(VLOOKUP(C62,Merchants!$A$2:$D$41,4,FALSE),"Merchant not found")</f>
        <v/>
      </c>
      <c r="L62" s="2">
        <f>IFERROR(HLOOKUP(F62,Fee_Tiers!$B$4:$E$5,2,FALSE),0)</f>
        <v/>
      </c>
      <c r="M62" s="2">
        <f>IF(AND(E62&gt;500,K62&lt;&gt;"East"),"High-Value Merchant Day",IF(AND(E62&gt;500,K62="East"),"High-Value East (Excluded)",IF(E62&lt;=500,"Standard","Unknown")))</f>
        <v/>
      </c>
    </row>
    <row r="63">
      <c r="A63" s="2" t="inlineStr">
        <is>
          <t>TXN100061</t>
        </is>
      </c>
      <c r="B63" s="2" t="n">
        <v>290</v>
      </c>
      <c r="C63" s="2" t="n">
        <v>3</v>
      </c>
      <c r="D63" s="2" t="inlineStr">
        <is>
          <t>2026-01-20 03:50:00</t>
        </is>
      </c>
      <c r="E63" s="2" t="n">
        <v>99</v>
      </c>
      <c r="F63" s="2" t="inlineStr">
        <is>
          <t>Wallet</t>
        </is>
      </c>
      <c r="G63" s="2" t="inlineStr">
        <is>
          <t>captured</t>
        </is>
      </c>
      <c r="H63" s="2" t="n">
        <v>44</v>
      </c>
      <c r="I63" s="2">
        <f>IFERROR(VLOOKUP(C63,Merchants!$A$2:$D$41,2,FALSE),"Merchant not found")</f>
        <v/>
      </c>
      <c r="J63" s="2">
        <f>IFERROR(VLOOKUP(C63,Merchants!$A$2:$D$41,3,FALSE),"Merchant not found")</f>
        <v/>
      </c>
      <c r="K63" s="2">
        <f>IFERROR(VLOOKUP(C63,Merchants!$A$2:$D$41,4,FALSE),"Merchant not found")</f>
        <v/>
      </c>
      <c r="L63" s="2">
        <f>IFERROR(HLOOKUP(F63,Fee_Tiers!$B$4:$E$5,2,FALSE),0)</f>
        <v/>
      </c>
      <c r="M63" s="2">
        <f>IF(AND(E63&gt;500,K63&lt;&gt;"East"),"High-Value Merchant Day",IF(AND(E63&gt;500,K63="East"),"High-Value East (Excluded)",IF(E63&lt;=500,"Standard","Unknown")))</f>
        <v/>
      </c>
    </row>
    <row r="64">
      <c r="A64" s="2" t="inlineStr">
        <is>
          <t>TXN100062</t>
        </is>
      </c>
      <c r="B64" s="2" t="n">
        <v>190</v>
      </c>
      <c r="C64" s="2" t="n">
        <v>5</v>
      </c>
      <c r="D64" s="2" t="inlineStr">
        <is>
          <t>2026-01-18 13:42:00</t>
        </is>
      </c>
      <c r="E64" s="2" t="n">
        <v>299</v>
      </c>
      <c r="F64" s="2" t="inlineStr">
        <is>
          <t>UPI</t>
        </is>
      </c>
      <c r="G64" s="2" t="inlineStr">
        <is>
          <t>captured</t>
        </is>
      </c>
      <c r="H64" s="2" t="n">
        <v>64</v>
      </c>
      <c r="I64" s="2">
        <f>IFERROR(VLOOKUP(C64,Merchants!$A$2:$D$41,2,FALSE),"Merchant not found")</f>
        <v/>
      </c>
      <c r="J64" s="2">
        <f>IFERROR(VLOOKUP(C64,Merchants!$A$2:$D$41,3,FALSE),"Merchant not found")</f>
        <v/>
      </c>
      <c r="K64" s="2">
        <f>IFERROR(VLOOKUP(C64,Merchants!$A$2:$D$41,4,FALSE),"Merchant not found")</f>
        <v/>
      </c>
      <c r="L64" s="2">
        <f>IFERROR(HLOOKUP(F64,Fee_Tiers!$B$4:$E$5,2,FALSE),0)</f>
        <v/>
      </c>
      <c r="M64" s="2">
        <f>IF(AND(E64&gt;500,K64&lt;&gt;"East"),"High-Value Merchant Day",IF(AND(E64&gt;500,K64="East"),"High-Value East (Excluded)",IF(E64&lt;=500,"Standard","Unknown")))</f>
        <v/>
      </c>
    </row>
    <row r="65">
      <c r="A65" s="2" t="inlineStr">
        <is>
          <t>TXN100063</t>
        </is>
      </c>
      <c r="B65" s="2" t="n">
        <v>216</v>
      </c>
      <c r="C65" s="2" t="n">
        <v>32</v>
      </c>
      <c r="D65" s="2" t="inlineStr">
        <is>
          <t>2026-01-21 10:00:00</t>
        </is>
      </c>
      <c r="E65" s="2" t="n">
        <v>49</v>
      </c>
      <c r="F65" s="2" t="inlineStr">
        <is>
          <t>Card</t>
        </is>
      </c>
      <c r="G65" s="2" t="inlineStr">
        <is>
          <t>captured</t>
        </is>
      </c>
      <c r="H65" s="2" t="n">
        <v>13</v>
      </c>
      <c r="I65" s="2">
        <f>IFERROR(VLOOKUP(C65,Merchants!$A$2:$D$41,2,FALSE),"Merchant not found")</f>
        <v/>
      </c>
      <c r="J65" s="2">
        <f>IFERROR(VLOOKUP(C65,Merchants!$A$2:$D$41,3,FALSE),"Merchant not found")</f>
        <v/>
      </c>
      <c r="K65" s="2">
        <f>IFERROR(VLOOKUP(C65,Merchants!$A$2:$D$41,4,FALSE),"Merchant not found")</f>
        <v/>
      </c>
      <c r="L65" s="2">
        <f>IFERROR(HLOOKUP(F65,Fee_Tiers!$B$4:$E$5,2,FALSE),0)</f>
        <v/>
      </c>
      <c r="M65" s="2">
        <f>IF(AND(E65&gt;500,K65&lt;&gt;"East"),"High-Value Merchant Day",IF(AND(E65&gt;500,K65="East"),"High-Value East (Excluded)",IF(E65&lt;=500,"Standard","Unknown")))</f>
        <v/>
      </c>
    </row>
    <row r="66">
      <c r="A66" s="2" t="inlineStr">
        <is>
          <t>TXN100064</t>
        </is>
      </c>
      <c r="B66" s="2" t="n">
        <v>236</v>
      </c>
      <c r="C66" s="2" t="n">
        <v>10</v>
      </c>
      <c r="D66" s="2" t="inlineStr">
        <is>
          <t>2026-01-14 11:40:00</t>
        </is>
      </c>
      <c r="E66" s="2" t="n">
        <v>499</v>
      </c>
      <c r="F66" s="2" t="inlineStr">
        <is>
          <t>UPI</t>
        </is>
      </c>
      <c r="G66" s="2" t="inlineStr">
        <is>
          <t>captured</t>
        </is>
      </c>
      <c r="H66" s="2" t="n">
        <v>55</v>
      </c>
      <c r="I66" s="2">
        <f>IFERROR(VLOOKUP(C66,Merchants!$A$2:$D$41,2,FALSE),"Merchant not found")</f>
        <v/>
      </c>
      <c r="J66" s="2">
        <f>IFERROR(VLOOKUP(C66,Merchants!$A$2:$D$41,3,FALSE),"Merchant not found")</f>
        <v/>
      </c>
      <c r="K66" s="2">
        <f>IFERROR(VLOOKUP(C66,Merchants!$A$2:$D$41,4,FALSE),"Merchant not found")</f>
        <v/>
      </c>
      <c r="L66" s="2">
        <f>IFERROR(HLOOKUP(F66,Fee_Tiers!$B$4:$E$5,2,FALSE),0)</f>
        <v/>
      </c>
      <c r="M66" s="2">
        <f>IF(AND(E66&gt;500,K66&lt;&gt;"East"),"High-Value Merchant Day",IF(AND(E66&gt;500,K66="East"),"High-Value East (Excluded)",IF(E66&lt;=500,"Standard","Unknown")))</f>
        <v/>
      </c>
    </row>
    <row r="67">
      <c r="A67" s="2" t="inlineStr">
        <is>
          <t>TXN100065</t>
        </is>
      </c>
      <c r="B67" s="2" t="n">
        <v>334</v>
      </c>
      <c r="C67" s="2" t="n">
        <v>18</v>
      </c>
      <c r="D67" s="2" t="inlineStr">
        <is>
          <t>2026-01-06 23:33:00</t>
        </is>
      </c>
      <c r="E67" s="2" t="n">
        <v>499</v>
      </c>
      <c r="F67" s="2" t="inlineStr">
        <is>
          <t>Card</t>
        </is>
      </c>
      <c r="G67" s="2" t="inlineStr">
        <is>
          <t>captured</t>
        </is>
      </c>
      <c r="H67" s="2" t="n">
        <v>78</v>
      </c>
      <c r="I67" s="2">
        <f>IFERROR(VLOOKUP(C67,Merchants!$A$2:$D$41,2,FALSE),"Merchant not found")</f>
        <v/>
      </c>
      <c r="J67" s="2">
        <f>IFERROR(VLOOKUP(C67,Merchants!$A$2:$D$41,3,FALSE),"Merchant not found")</f>
        <v/>
      </c>
      <c r="K67" s="2">
        <f>IFERROR(VLOOKUP(C67,Merchants!$A$2:$D$41,4,FALSE),"Merchant not found")</f>
        <v/>
      </c>
      <c r="L67" s="2">
        <f>IFERROR(HLOOKUP(F67,Fee_Tiers!$B$4:$E$5,2,FALSE),0)</f>
        <v/>
      </c>
      <c r="M67" s="2">
        <f>IF(AND(E67&gt;500,K67&lt;&gt;"East"),"High-Value Merchant Day",IF(AND(E67&gt;500,K67="East"),"High-Value East (Excluded)",IF(E67&lt;=500,"Standard","Unknown")))</f>
        <v/>
      </c>
    </row>
    <row r="68">
      <c r="A68" s="2" t="inlineStr">
        <is>
          <t>TXN100066</t>
        </is>
      </c>
      <c r="B68" s="2" t="n">
        <v>248</v>
      </c>
      <c r="C68" s="2" t="n">
        <v>30</v>
      </c>
      <c r="D68" s="2" t="inlineStr">
        <is>
          <t>2026-01-26 17:49:00</t>
        </is>
      </c>
      <c r="E68" s="2" t="n">
        <v>799</v>
      </c>
      <c r="F68" s="2" t="inlineStr">
        <is>
          <t>Wallet</t>
        </is>
      </c>
      <c r="G68" s="2" t="inlineStr">
        <is>
          <t>captured</t>
        </is>
      </c>
      <c r="H68" s="2" t="n">
        <v>55</v>
      </c>
      <c r="I68" s="2">
        <f>IFERROR(VLOOKUP(C68,Merchants!$A$2:$D$41,2,FALSE),"Merchant not found")</f>
        <v/>
      </c>
      <c r="J68" s="2">
        <f>IFERROR(VLOOKUP(C68,Merchants!$A$2:$D$41,3,FALSE),"Merchant not found")</f>
        <v/>
      </c>
      <c r="K68" s="2">
        <f>IFERROR(VLOOKUP(C68,Merchants!$A$2:$D$41,4,FALSE),"Merchant not found")</f>
        <v/>
      </c>
      <c r="L68" s="2">
        <f>IFERROR(HLOOKUP(F68,Fee_Tiers!$B$4:$E$5,2,FALSE),0)</f>
        <v/>
      </c>
      <c r="M68" s="2">
        <f>IF(AND(E68&gt;500,K68&lt;&gt;"East"),"High-Value Merchant Day",IF(AND(E68&gt;500,K68="East"),"High-Value East (Excluded)",IF(E68&lt;=500,"Standard","Unknown")))</f>
        <v/>
      </c>
    </row>
    <row r="69">
      <c r="A69" s="2" t="inlineStr">
        <is>
          <t>TXN100067</t>
        </is>
      </c>
      <c r="B69" s="2" t="n">
        <v>138</v>
      </c>
      <c r="C69" s="2" t="n">
        <v>21</v>
      </c>
      <c r="D69" s="2" t="inlineStr">
        <is>
          <t>2026-01-27 23:37:00</t>
        </is>
      </c>
      <c r="E69" s="2" t="n">
        <v>49</v>
      </c>
      <c r="F69" s="2" t="inlineStr">
        <is>
          <t>Card</t>
        </is>
      </c>
      <c r="G69" s="2" t="inlineStr">
        <is>
          <t>captured</t>
        </is>
      </c>
      <c r="H69" s="2" t="n">
        <v>31</v>
      </c>
      <c r="I69" s="2">
        <f>IFERROR(VLOOKUP(C69,Merchants!$A$2:$D$41,2,FALSE),"Merchant not found")</f>
        <v/>
      </c>
      <c r="J69" s="2">
        <f>IFERROR(VLOOKUP(C69,Merchants!$A$2:$D$41,3,FALSE),"Merchant not found")</f>
        <v/>
      </c>
      <c r="K69" s="2">
        <f>IFERROR(VLOOKUP(C69,Merchants!$A$2:$D$41,4,FALSE),"Merchant not found")</f>
        <v/>
      </c>
      <c r="L69" s="2">
        <f>IFERROR(HLOOKUP(F69,Fee_Tiers!$B$4:$E$5,2,FALSE),0)</f>
        <v/>
      </c>
      <c r="M69" s="2">
        <f>IF(AND(E69&gt;500,K69&lt;&gt;"East"),"High-Value Merchant Day",IF(AND(E69&gt;500,K69="East"),"High-Value East (Excluded)",IF(E69&lt;=500,"Standard","Unknown")))</f>
        <v/>
      </c>
    </row>
    <row r="70">
      <c r="A70" s="2" t="inlineStr">
        <is>
          <t>TXN100068</t>
        </is>
      </c>
      <c r="B70" s="2" t="n">
        <v>231</v>
      </c>
      <c r="C70" s="2" t="n">
        <v>16</v>
      </c>
      <c r="D70" s="2" t="inlineStr">
        <is>
          <t>2026-01-27 02:17:00</t>
        </is>
      </c>
      <c r="E70" s="2" t="n">
        <v>49</v>
      </c>
      <c r="F70" s="2" t="inlineStr">
        <is>
          <t>UPI</t>
        </is>
      </c>
      <c r="G70" s="2" t="inlineStr">
        <is>
          <t>captured</t>
        </is>
      </c>
      <c r="H70" s="2" t="n">
        <v>96</v>
      </c>
      <c r="I70" s="2">
        <f>IFERROR(VLOOKUP(C70,Merchants!$A$2:$D$41,2,FALSE),"Merchant not found")</f>
        <v/>
      </c>
      <c r="J70" s="2">
        <f>IFERROR(VLOOKUP(C70,Merchants!$A$2:$D$41,3,FALSE),"Merchant not found")</f>
        <v/>
      </c>
      <c r="K70" s="2">
        <f>IFERROR(VLOOKUP(C70,Merchants!$A$2:$D$41,4,FALSE),"Merchant not found")</f>
        <v/>
      </c>
      <c r="L70" s="2">
        <f>IFERROR(HLOOKUP(F70,Fee_Tiers!$B$4:$E$5,2,FALSE),0)</f>
        <v/>
      </c>
      <c r="M70" s="2">
        <f>IF(AND(E70&gt;500,K70&lt;&gt;"East"),"High-Value Merchant Day",IF(AND(E70&gt;500,K70="East"),"High-Value East (Excluded)",IF(E70&lt;=500,"Standard","Unknown")))</f>
        <v/>
      </c>
    </row>
    <row r="71">
      <c r="A71" s="2" t="inlineStr">
        <is>
          <t>TXN100069</t>
        </is>
      </c>
      <c r="B71" s="2" t="n">
        <v>343</v>
      </c>
      <c r="C71" s="2" t="n">
        <v>25</v>
      </c>
      <c r="D71" s="2" t="inlineStr">
        <is>
          <t>2026-01-15 18:39:00</t>
        </is>
      </c>
      <c r="E71" s="2" t="n">
        <v>49</v>
      </c>
      <c r="F71" s="2" t="inlineStr">
        <is>
          <t>UPI</t>
        </is>
      </c>
      <c r="G71" s="2" t="inlineStr">
        <is>
          <t>captured</t>
        </is>
      </c>
      <c r="H71" s="2" t="n">
        <v>43</v>
      </c>
      <c r="I71" s="2">
        <f>IFERROR(VLOOKUP(C71,Merchants!$A$2:$D$41,2,FALSE),"Merchant not found")</f>
        <v/>
      </c>
      <c r="J71" s="2">
        <f>IFERROR(VLOOKUP(C71,Merchants!$A$2:$D$41,3,FALSE),"Merchant not found")</f>
        <v/>
      </c>
      <c r="K71" s="2">
        <f>IFERROR(VLOOKUP(C71,Merchants!$A$2:$D$41,4,FALSE),"Merchant not found")</f>
        <v/>
      </c>
      <c r="L71" s="2">
        <f>IFERROR(HLOOKUP(F71,Fee_Tiers!$B$4:$E$5,2,FALSE),0)</f>
        <v/>
      </c>
      <c r="M71" s="2">
        <f>IF(AND(E71&gt;500,K71&lt;&gt;"East"),"High-Value Merchant Day",IF(AND(E71&gt;500,K71="East"),"High-Value East (Excluded)",IF(E71&lt;=500,"Standard","Unknown")))</f>
        <v/>
      </c>
    </row>
    <row r="72">
      <c r="A72" s="2" t="inlineStr">
        <is>
          <t>TXN100070</t>
        </is>
      </c>
      <c r="B72" s="2" t="n">
        <v>167</v>
      </c>
      <c r="C72" s="2" t="n">
        <v>12</v>
      </c>
      <c r="D72" s="2" t="inlineStr">
        <is>
          <t>2026-01-01 15:54:00</t>
        </is>
      </c>
      <c r="E72" s="2" t="n">
        <v>499</v>
      </c>
      <c r="F72" s="2" t="inlineStr">
        <is>
          <t>Wallet</t>
        </is>
      </c>
      <c r="G72" s="2" t="inlineStr">
        <is>
          <t>captured</t>
        </is>
      </c>
      <c r="H72" s="2" t="n">
        <v>62</v>
      </c>
      <c r="I72" s="2">
        <f>IFERROR(VLOOKUP(C72,Merchants!$A$2:$D$41,2,FALSE),"Merchant not found")</f>
        <v/>
      </c>
      <c r="J72" s="2">
        <f>IFERROR(VLOOKUP(C72,Merchants!$A$2:$D$41,3,FALSE),"Merchant not found")</f>
        <v/>
      </c>
      <c r="K72" s="2">
        <f>IFERROR(VLOOKUP(C72,Merchants!$A$2:$D$41,4,FALSE),"Merchant not found")</f>
        <v/>
      </c>
      <c r="L72" s="2">
        <f>IFERROR(HLOOKUP(F72,Fee_Tiers!$B$4:$E$5,2,FALSE),0)</f>
        <v/>
      </c>
      <c r="M72" s="2">
        <f>IF(AND(E72&gt;500,K72&lt;&gt;"East"),"High-Value Merchant Day",IF(AND(E72&gt;500,K72="East"),"High-Value East (Excluded)",IF(E72&lt;=500,"Standard","Unknown")))</f>
        <v/>
      </c>
    </row>
    <row r="73">
      <c r="A73" s="2" t="inlineStr">
        <is>
          <t>TXN100071</t>
        </is>
      </c>
      <c r="B73" s="2" t="n">
        <v>133</v>
      </c>
      <c r="C73" s="2" t="n">
        <v>22</v>
      </c>
      <c r="D73" s="2" t="inlineStr">
        <is>
          <t>2026-01-07 11:51:00</t>
        </is>
      </c>
      <c r="E73" s="2" t="n">
        <v>499</v>
      </c>
      <c r="F73" s="2" t="inlineStr">
        <is>
          <t>UPI</t>
        </is>
      </c>
      <c r="G73" s="2" t="inlineStr">
        <is>
          <t>captured</t>
        </is>
      </c>
      <c r="H73" s="2" t="n">
        <v>35</v>
      </c>
      <c r="I73" s="2">
        <f>IFERROR(VLOOKUP(C73,Merchants!$A$2:$D$41,2,FALSE),"Merchant not found")</f>
        <v/>
      </c>
      <c r="J73" s="2">
        <f>IFERROR(VLOOKUP(C73,Merchants!$A$2:$D$41,3,FALSE),"Merchant not found")</f>
        <v/>
      </c>
      <c r="K73" s="2">
        <f>IFERROR(VLOOKUP(C73,Merchants!$A$2:$D$41,4,FALSE),"Merchant not found")</f>
        <v/>
      </c>
      <c r="L73" s="2">
        <f>IFERROR(HLOOKUP(F73,Fee_Tiers!$B$4:$E$5,2,FALSE),0)</f>
        <v/>
      </c>
      <c r="M73" s="2">
        <f>IF(AND(E73&gt;500,K73&lt;&gt;"East"),"High-Value Merchant Day",IF(AND(E73&gt;500,K73="East"),"High-Value East (Excluded)",IF(E73&lt;=500,"Standard","Unknown")))</f>
        <v/>
      </c>
    </row>
    <row r="74">
      <c r="A74" s="2" t="inlineStr">
        <is>
          <t>TXN100072</t>
        </is>
      </c>
      <c r="B74" s="2" t="n">
        <v>142</v>
      </c>
      <c r="C74" s="2" t="n">
        <v>36</v>
      </c>
      <c r="D74" s="2" t="inlineStr">
        <is>
          <t>2026-01-29 19:44:00</t>
        </is>
      </c>
      <c r="E74" s="2" t="n">
        <v>799</v>
      </c>
      <c r="F74" s="2" t="inlineStr">
        <is>
          <t>Wallet</t>
        </is>
      </c>
      <c r="G74" s="2" t="inlineStr">
        <is>
          <t>captured</t>
        </is>
      </c>
      <c r="H74" s="2" t="n">
        <v>1</v>
      </c>
      <c r="I74" s="2">
        <f>IFERROR(VLOOKUP(C74,Merchants!$A$2:$D$41,2,FALSE),"Merchant not found")</f>
        <v/>
      </c>
      <c r="J74" s="2">
        <f>IFERROR(VLOOKUP(C74,Merchants!$A$2:$D$41,3,FALSE),"Merchant not found")</f>
        <v/>
      </c>
      <c r="K74" s="2">
        <f>IFERROR(VLOOKUP(C74,Merchants!$A$2:$D$41,4,FALSE),"Merchant not found")</f>
        <v/>
      </c>
      <c r="L74" s="2">
        <f>IFERROR(HLOOKUP(F74,Fee_Tiers!$B$4:$E$5,2,FALSE),0)</f>
        <v/>
      </c>
      <c r="M74" s="2">
        <f>IF(AND(E74&gt;500,K74&lt;&gt;"East"),"High-Value Merchant Day",IF(AND(E74&gt;500,K74="East"),"High-Value East (Excluded)",IF(E74&lt;=500,"Standard","Unknown")))</f>
        <v/>
      </c>
    </row>
    <row r="75">
      <c r="A75" s="2" t="inlineStr">
        <is>
          <t>TXN100073</t>
        </is>
      </c>
      <c r="B75" s="2" t="n">
        <v>124</v>
      </c>
      <c r="C75" s="2" t="n">
        <v>27</v>
      </c>
      <c r="D75" s="2" t="inlineStr">
        <is>
          <t>2026-01-17 06:05:00</t>
        </is>
      </c>
      <c r="E75" s="2" t="n">
        <v>499</v>
      </c>
      <c r="F75" s="2" t="inlineStr">
        <is>
          <t>Wallet</t>
        </is>
      </c>
      <c r="G75" s="2" t="inlineStr">
        <is>
          <t>captured</t>
        </is>
      </c>
      <c r="H75" s="2" t="n">
        <v>62</v>
      </c>
      <c r="I75" s="2">
        <f>IFERROR(VLOOKUP(C75,Merchants!$A$2:$D$41,2,FALSE),"Merchant not found")</f>
        <v/>
      </c>
      <c r="J75" s="2">
        <f>IFERROR(VLOOKUP(C75,Merchants!$A$2:$D$41,3,FALSE),"Merchant not found")</f>
        <v/>
      </c>
      <c r="K75" s="2">
        <f>IFERROR(VLOOKUP(C75,Merchants!$A$2:$D$41,4,FALSE),"Merchant not found")</f>
        <v/>
      </c>
      <c r="L75" s="2">
        <f>IFERROR(HLOOKUP(F75,Fee_Tiers!$B$4:$E$5,2,FALSE),0)</f>
        <v/>
      </c>
      <c r="M75" s="2">
        <f>IF(AND(E75&gt;500,K75&lt;&gt;"East"),"High-Value Merchant Day",IF(AND(E75&gt;500,K75="East"),"High-Value East (Excluded)",IF(E75&lt;=500,"Standard","Unknown")))</f>
        <v/>
      </c>
    </row>
    <row r="76">
      <c r="A76" s="2" t="inlineStr">
        <is>
          <t>TXN100074</t>
        </is>
      </c>
      <c r="B76" s="2" t="n">
        <v>244</v>
      </c>
      <c r="C76" s="2" t="n">
        <v>32</v>
      </c>
      <c r="D76" s="2" t="inlineStr">
        <is>
          <t>2026-01-18 07:44:00</t>
        </is>
      </c>
      <c r="E76" s="2" t="n">
        <v>149</v>
      </c>
      <c r="F76" s="2" t="inlineStr">
        <is>
          <t>UPI</t>
        </is>
      </c>
      <c r="G76" s="2" t="inlineStr">
        <is>
          <t>captured</t>
        </is>
      </c>
      <c r="H76" s="2" t="n">
        <v>57</v>
      </c>
      <c r="I76" s="2">
        <f>IFERROR(VLOOKUP(C76,Merchants!$A$2:$D$41,2,FALSE),"Merchant not found")</f>
        <v/>
      </c>
      <c r="J76" s="2">
        <f>IFERROR(VLOOKUP(C76,Merchants!$A$2:$D$41,3,FALSE),"Merchant not found")</f>
        <v/>
      </c>
      <c r="K76" s="2">
        <f>IFERROR(VLOOKUP(C76,Merchants!$A$2:$D$41,4,FALSE),"Merchant not found")</f>
        <v/>
      </c>
      <c r="L76" s="2">
        <f>IFERROR(HLOOKUP(F76,Fee_Tiers!$B$4:$E$5,2,FALSE),0)</f>
        <v/>
      </c>
      <c r="M76" s="2">
        <f>IF(AND(E76&gt;500,K76&lt;&gt;"East"),"High-Value Merchant Day",IF(AND(E76&gt;500,K76="East"),"High-Value East (Excluded)",IF(E76&lt;=500,"Standard","Unknown")))</f>
        <v/>
      </c>
    </row>
    <row r="77">
      <c r="A77" s="2" t="inlineStr">
        <is>
          <t>TXN100075</t>
        </is>
      </c>
      <c r="B77" s="2" t="n">
        <v>151</v>
      </c>
      <c r="C77" s="2" t="n">
        <v>15</v>
      </c>
      <c r="D77" s="2" t="inlineStr">
        <is>
          <t>2026-01-26 00:05:00</t>
        </is>
      </c>
      <c r="E77" s="2" t="n">
        <v>4999</v>
      </c>
      <c r="F77" s="2" t="inlineStr">
        <is>
          <t>UPI</t>
        </is>
      </c>
      <c r="G77" s="2" t="inlineStr">
        <is>
          <t>captured</t>
        </is>
      </c>
      <c r="H77" s="2" t="n">
        <v>51</v>
      </c>
      <c r="I77" s="2">
        <f>IFERROR(VLOOKUP(C77,Merchants!$A$2:$D$41,2,FALSE),"Merchant not found")</f>
        <v/>
      </c>
      <c r="J77" s="2">
        <f>IFERROR(VLOOKUP(C77,Merchants!$A$2:$D$41,3,FALSE),"Merchant not found")</f>
        <v/>
      </c>
      <c r="K77" s="2">
        <f>IFERROR(VLOOKUP(C77,Merchants!$A$2:$D$41,4,FALSE),"Merchant not found")</f>
        <v/>
      </c>
      <c r="L77" s="2">
        <f>IFERROR(HLOOKUP(F77,Fee_Tiers!$B$4:$E$5,2,FALSE),0)</f>
        <v/>
      </c>
      <c r="M77" s="2">
        <f>IF(AND(E77&gt;500,K77&lt;&gt;"East"),"High-Value Merchant Day",IF(AND(E77&gt;500,K77="East"),"High-Value East (Excluded)",IF(E77&lt;=500,"Standard","Unknown")))</f>
        <v/>
      </c>
    </row>
    <row r="78">
      <c r="A78" s="2" t="inlineStr">
        <is>
          <t>TXN100076</t>
        </is>
      </c>
      <c r="B78" s="2" t="n">
        <v>340</v>
      </c>
      <c r="C78" s="2" t="n">
        <v>38</v>
      </c>
      <c r="D78" s="2" t="inlineStr">
        <is>
          <t>2026-01-23 07:19:00</t>
        </is>
      </c>
      <c r="E78" s="2" t="n">
        <v>499</v>
      </c>
      <c r="F78" s="2" t="inlineStr">
        <is>
          <t>Card</t>
        </is>
      </c>
      <c r="G78" s="2" t="inlineStr">
        <is>
          <t>captured</t>
        </is>
      </c>
      <c r="H78" s="2" t="n">
        <v>47</v>
      </c>
      <c r="I78" s="2">
        <f>IFERROR(VLOOKUP(C78,Merchants!$A$2:$D$41,2,FALSE),"Merchant not found")</f>
        <v/>
      </c>
      <c r="J78" s="2">
        <f>IFERROR(VLOOKUP(C78,Merchants!$A$2:$D$41,3,FALSE),"Merchant not found")</f>
        <v/>
      </c>
      <c r="K78" s="2">
        <f>IFERROR(VLOOKUP(C78,Merchants!$A$2:$D$41,4,FALSE),"Merchant not found")</f>
        <v/>
      </c>
      <c r="L78" s="2">
        <f>IFERROR(HLOOKUP(F78,Fee_Tiers!$B$4:$E$5,2,FALSE),0)</f>
        <v/>
      </c>
      <c r="M78" s="2">
        <f>IF(AND(E78&gt;500,K78&lt;&gt;"East"),"High-Value Merchant Day",IF(AND(E78&gt;500,K78="East"),"High-Value East (Excluded)",IF(E78&lt;=500,"Standard","Unknown")))</f>
        <v/>
      </c>
    </row>
    <row r="79">
      <c r="A79" s="2" t="inlineStr">
        <is>
          <t>TXN100077</t>
        </is>
      </c>
      <c r="B79" s="2" t="n">
        <v>177</v>
      </c>
      <c r="C79" s="2" t="n">
        <v>28</v>
      </c>
      <c r="D79" s="2" t="inlineStr">
        <is>
          <t>2026-01-16 17:33:00</t>
        </is>
      </c>
      <c r="E79" s="2" t="n">
        <v>299</v>
      </c>
      <c r="F79" s="2" t="inlineStr">
        <is>
          <t>UPI</t>
        </is>
      </c>
      <c r="G79" s="2" t="inlineStr">
        <is>
          <t>captured</t>
        </is>
      </c>
      <c r="H79" s="2" t="n">
        <v>95</v>
      </c>
      <c r="I79" s="2">
        <f>IFERROR(VLOOKUP(C79,Merchants!$A$2:$D$41,2,FALSE),"Merchant not found")</f>
        <v/>
      </c>
      <c r="J79" s="2">
        <f>IFERROR(VLOOKUP(C79,Merchants!$A$2:$D$41,3,FALSE),"Merchant not found")</f>
        <v/>
      </c>
      <c r="K79" s="2">
        <f>IFERROR(VLOOKUP(C79,Merchants!$A$2:$D$41,4,FALSE),"Merchant not found")</f>
        <v/>
      </c>
      <c r="L79" s="2">
        <f>IFERROR(HLOOKUP(F79,Fee_Tiers!$B$4:$E$5,2,FALSE),0)</f>
        <v/>
      </c>
      <c r="M79" s="2">
        <f>IF(AND(E79&gt;500,K79&lt;&gt;"East"),"High-Value Merchant Day",IF(AND(E79&gt;500,K79="East"),"High-Value East (Excluded)",IF(E79&lt;=500,"Standard","Unknown")))</f>
        <v/>
      </c>
    </row>
    <row r="80">
      <c r="A80" s="2" t="inlineStr">
        <is>
          <t>TXN100078</t>
        </is>
      </c>
      <c r="B80" s="2" t="n">
        <v>233</v>
      </c>
      <c r="C80" s="2" t="n">
        <v>18</v>
      </c>
      <c r="D80" s="2" t="inlineStr">
        <is>
          <t>2026-01-18 10:22:00</t>
        </is>
      </c>
      <c r="E80" s="2" t="n">
        <v>499</v>
      </c>
      <c r="F80" s="2" t="inlineStr">
        <is>
          <t>UPI</t>
        </is>
      </c>
      <c r="G80" s="2" t="inlineStr">
        <is>
          <t>captured</t>
        </is>
      </c>
      <c r="H80" s="2" t="n">
        <v>39</v>
      </c>
      <c r="I80" s="2">
        <f>IFERROR(VLOOKUP(C80,Merchants!$A$2:$D$41,2,FALSE),"Merchant not found")</f>
        <v/>
      </c>
      <c r="J80" s="2">
        <f>IFERROR(VLOOKUP(C80,Merchants!$A$2:$D$41,3,FALSE),"Merchant not found")</f>
        <v/>
      </c>
      <c r="K80" s="2">
        <f>IFERROR(VLOOKUP(C80,Merchants!$A$2:$D$41,4,FALSE),"Merchant not found")</f>
        <v/>
      </c>
      <c r="L80" s="2">
        <f>IFERROR(HLOOKUP(F80,Fee_Tiers!$B$4:$E$5,2,FALSE),0)</f>
        <v/>
      </c>
      <c r="M80" s="2">
        <f>IF(AND(E80&gt;500,K80&lt;&gt;"East"),"High-Value Merchant Day",IF(AND(E80&gt;500,K80="East"),"High-Value East (Excluded)",IF(E80&lt;=500,"Standard","Unknown")))</f>
        <v/>
      </c>
    </row>
    <row r="81">
      <c r="A81" s="2" t="inlineStr">
        <is>
          <t>TXN100079</t>
        </is>
      </c>
      <c r="B81" s="2" t="n">
        <v>99</v>
      </c>
      <c r="C81" s="2" t="n">
        <v>21</v>
      </c>
      <c r="D81" s="2" t="inlineStr">
        <is>
          <t>2026-01-09 07:07:00</t>
        </is>
      </c>
      <c r="E81" s="2" t="n">
        <v>499</v>
      </c>
      <c r="F81" s="2" t="inlineStr">
        <is>
          <t>UPI</t>
        </is>
      </c>
      <c r="G81" s="2" t="inlineStr">
        <is>
          <t>captured</t>
        </is>
      </c>
      <c r="H81" s="2" t="n">
        <v>15</v>
      </c>
      <c r="I81" s="2">
        <f>IFERROR(VLOOKUP(C81,Merchants!$A$2:$D$41,2,FALSE),"Merchant not found")</f>
        <v/>
      </c>
      <c r="J81" s="2">
        <f>IFERROR(VLOOKUP(C81,Merchants!$A$2:$D$41,3,FALSE),"Merchant not found")</f>
        <v/>
      </c>
      <c r="K81" s="2">
        <f>IFERROR(VLOOKUP(C81,Merchants!$A$2:$D$41,4,FALSE),"Merchant not found")</f>
        <v/>
      </c>
      <c r="L81" s="2">
        <f>IFERROR(HLOOKUP(F81,Fee_Tiers!$B$4:$E$5,2,FALSE),0)</f>
        <v/>
      </c>
      <c r="M81" s="2">
        <f>IF(AND(E81&gt;500,K81&lt;&gt;"East"),"High-Value Merchant Day",IF(AND(E81&gt;500,K81="East"),"High-Value East (Excluded)",IF(E81&lt;=500,"Standard","Unknown")))</f>
        <v/>
      </c>
    </row>
    <row r="82">
      <c r="A82" s="2" t="inlineStr">
        <is>
          <t>TXN100080</t>
        </is>
      </c>
      <c r="B82" s="2" t="n">
        <v>95</v>
      </c>
      <c r="C82" s="2" t="n">
        <v>13</v>
      </c>
      <c r="D82" s="2" t="inlineStr">
        <is>
          <t>2026-01-24 17:48:00</t>
        </is>
      </c>
      <c r="E82" s="2" t="n">
        <v>2999</v>
      </c>
      <c r="F82" s="2" t="inlineStr">
        <is>
          <t>Netbanking</t>
        </is>
      </c>
      <c r="G82" s="2" t="inlineStr">
        <is>
          <t>failed</t>
        </is>
      </c>
      <c r="H82" s="2" t="n">
        <v>27</v>
      </c>
      <c r="I82" s="2">
        <f>IFERROR(VLOOKUP(C82,Merchants!$A$2:$D$41,2,FALSE),"Merchant not found")</f>
        <v/>
      </c>
      <c r="J82" s="2">
        <f>IFERROR(VLOOKUP(C82,Merchants!$A$2:$D$41,3,FALSE),"Merchant not found")</f>
        <v/>
      </c>
      <c r="K82" s="2">
        <f>IFERROR(VLOOKUP(C82,Merchants!$A$2:$D$41,4,FALSE),"Merchant not found")</f>
        <v/>
      </c>
      <c r="L82" s="2">
        <f>IFERROR(HLOOKUP(F82,Fee_Tiers!$B$4:$E$5,2,FALSE),0)</f>
        <v/>
      </c>
      <c r="M82" s="2">
        <f>IF(AND(E82&gt;500,K82&lt;&gt;"East"),"High-Value Merchant Day",IF(AND(E82&gt;500,K82="East"),"High-Value East (Excluded)",IF(E82&lt;=500,"Standard","Unknown")))</f>
        <v/>
      </c>
    </row>
    <row r="83">
      <c r="A83" s="2" t="inlineStr">
        <is>
          <t>TXN100081</t>
        </is>
      </c>
      <c r="B83" s="2" t="n">
        <v>302</v>
      </c>
      <c r="C83" s="2" t="n">
        <v>34</v>
      </c>
      <c r="D83" s="2" t="inlineStr">
        <is>
          <t>2026-01-24 15:17:00</t>
        </is>
      </c>
      <c r="E83" s="2" t="n">
        <v>49</v>
      </c>
      <c r="F83" s="2" t="inlineStr">
        <is>
          <t>Netbanking</t>
        </is>
      </c>
      <c r="G83" s="2" t="inlineStr">
        <is>
          <t>captured</t>
        </is>
      </c>
      <c r="H83" s="2" t="n">
        <v>76</v>
      </c>
      <c r="I83" s="2">
        <f>IFERROR(VLOOKUP(C83,Merchants!$A$2:$D$41,2,FALSE),"Merchant not found")</f>
        <v/>
      </c>
      <c r="J83" s="2">
        <f>IFERROR(VLOOKUP(C83,Merchants!$A$2:$D$41,3,FALSE),"Merchant not found")</f>
        <v/>
      </c>
      <c r="K83" s="2">
        <f>IFERROR(VLOOKUP(C83,Merchants!$A$2:$D$41,4,FALSE),"Merchant not found")</f>
        <v/>
      </c>
      <c r="L83" s="2">
        <f>IFERROR(HLOOKUP(F83,Fee_Tiers!$B$4:$E$5,2,FALSE),0)</f>
        <v/>
      </c>
      <c r="M83" s="2">
        <f>IF(AND(E83&gt;500,K83&lt;&gt;"East"),"High-Value Merchant Day",IF(AND(E83&gt;500,K83="East"),"High-Value East (Excluded)",IF(E83&lt;=500,"Standard","Unknown")))</f>
        <v/>
      </c>
    </row>
    <row r="84">
      <c r="A84" s="2" t="inlineStr">
        <is>
          <t>TXN100082</t>
        </is>
      </c>
      <c r="B84" s="2" t="n">
        <v>100</v>
      </c>
      <c r="C84" s="2" t="n">
        <v>19</v>
      </c>
      <c r="D84" s="2" t="inlineStr">
        <is>
          <t>2026-01-10 03:53:00</t>
        </is>
      </c>
      <c r="E84" s="2" t="n">
        <v>2999</v>
      </c>
      <c r="F84" s="2" t="inlineStr">
        <is>
          <t>Netbanking</t>
        </is>
      </c>
      <c r="G84" s="2" t="inlineStr">
        <is>
          <t>captured</t>
        </is>
      </c>
      <c r="H84" s="2" t="n">
        <v>29</v>
      </c>
      <c r="I84" s="2">
        <f>IFERROR(VLOOKUP(C84,Merchants!$A$2:$D$41,2,FALSE),"Merchant not found")</f>
        <v/>
      </c>
      <c r="J84" s="2">
        <f>IFERROR(VLOOKUP(C84,Merchants!$A$2:$D$41,3,FALSE),"Merchant not found")</f>
        <v/>
      </c>
      <c r="K84" s="2">
        <f>IFERROR(VLOOKUP(C84,Merchants!$A$2:$D$41,4,FALSE),"Merchant not found")</f>
        <v/>
      </c>
      <c r="L84" s="2">
        <f>IFERROR(HLOOKUP(F84,Fee_Tiers!$B$4:$E$5,2,FALSE),0)</f>
        <v/>
      </c>
      <c r="M84" s="2">
        <f>IF(AND(E84&gt;500,K84&lt;&gt;"East"),"High-Value Merchant Day",IF(AND(E84&gt;500,K84="East"),"High-Value East (Excluded)",IF(E84&lt;=500,"Standard","Unknown")))</f>
        <v/>
      </c>
    </row>
    <row r="85">
      <c r="A85" s="2" t="inlineStr">
        <is>
          <t>TXN100083</t>
        </is>
      </c>
      <c r="B85" s="2" t="n">
        <v>8</v>
      </c>
      <c r="C85" s="2" t="n">
        <v>35</v>
      </c>
      <c r="D85" s="2" t="inlineStr">
        <is>
          <t>2026-01-12 05:19:00</t>
        </is>
      </c>
      <c r="E85" s="2" t="n">
        <v>99</v>
      </c>
      <c r="F85" s="2" t="inlineStr">
        <is>
          <t>UPI</t>
        </is>
      </c>
      <c r="G85" s="2" t="inlineStr">
        <is>
          <t>captured</t>
        </is>
      </c>
      <c r="H85" s="2" t="n">
        <v>16</v>
      </c>
      <c r="I85" s="2">
        <f>IFERROR(VLOOKUP(C85,Merchants!$A$2:$D$41,2,FALSE),"Merchant not found")</f>
        <v/>
      </c>
      <c r="J85" s="2">
        <f>IFERROR(VLOOKUP(C85,Merchants!$A$2:$D$41,3,FALSE),"Merchant not found")</f>
        <v/>
      </c>
      <c r="K85" s="2">
        <f>IFERROR(VLOOKUP(C85,Merchants!$A$2:$D$41,4,FALSE),"Merchant not found")</f>
        <v/>
      </c>
      <c r="L85" s="2">
        <f>IFERROR(HLOOKUP(F85,Fee_Tiers!$B$4:$E$5,2,FALSE),0)</f>
        <v/>
      </c>
      <c r="M85" s="2">
        <f>IF(AND(E85&gt;500,K85&lt;&gt;"East"),"High-Value Merchant Day",IF(AND(E85&gt;500,K85="East"),"High-Value East (Excluded)",IF(E85&lt;=500,"Standard","Unknown")))</f>
        <v/>
      </c>
    </row>
    <row r="86">
      <c r="A86" s="2" t="inlineStr">
        <is>
          <t>TXN100084</t>
        </is>
      </c>
      <c r="B86" s="2" t="n">
        <v>284</v>
      </c>
      <c r="C86" s="2" t="n">
        <v>19</v>
      </c>
      <c r="D86" s="2" t="inlineStr">
        <is>
          <t>2026-01-09 01:03:00</t>
        </is>
      </c>
      <c r="E86" s="2" t="n">
        <v>99</v>
      </c>
      <c r="F86" s="2" t="inlineStr">
        <is>
          <t>UPI</t>
        </is>
      </c>
      <c r="G86" s="2" t="inlineStr">
        <is>
          <t>captured</t>
        </is>
      </c>
      <c r="H86" s="2" t="n">
        <v>89</v>
      </c>
      <c r="I86" s="2">
        <f>IFERROR(VLOOKUP(C86,Merchants!$A$2:$D$41,2,FALSE),"Merchant not found")</f>
        <v/>
      </c>
      <c r="J86" s="2">
        <f>IFERROR(VLOOKUP(C86,Merchants!$A$2:$D$41,3,FALSE),"Merchant not found")</f>
        <v/>
      </c>
      <c r="K86" s="2">
        <f>IFERROR(VLOOKUP(C86,Merchants!$A$2:$D$41,4,FALSE),"Merchant not found")</f>
        <v/>
      </c>
      <c r="L86" s="2">
        <f>IFERROR(HLOOKUP(F86,Fee_Tiers!$B$4:$E$5,2,FALSE),0)</f>
        <v/>
      </c>
      <c r="M86" s="2">
        <f>IF(AND(E86&gt;500,K86&lt;&gt;"East"),"High-Value Merchant Day",IF(AND(E86&gt;500,K86="East"),"High-Value East (Excluded)",IF(E86&lt;=500,"Standard","Unknown")))</f>
        <v/>
      </c>
    </row>
    <row r="87">
      <c r="A87" s="2" t="inlineStr">
        <is>
          <t>TXN100085</t>
        </is>
      </c>
      <c r="B87" s="2" t="n">
        <v>252</v>
      </c>
      <c r="C87" s="2" t="n">
        <v>7</v>
      </c>
      <c r="D87" s="2" t="inlineStr">
        <is>
          <t>2026-01-05 20:55:00</t>
        </is>
      </c>
      <c r="E87" s="2" t="n">
        <v>2999</v>
      </c>
      <c r="F87" s="2" t="inlineStr">
        <is>
          <t>Wallet</t>
        </is>
      </c>
      <c r="G87" s="2" t="inlineStr">
        <is>
          <t>captured</t>
        </is>
      </c>
      <c r="H87" s="2" t="n">
        <v>1</v>
      </c>
      <c r="I87" s="2">
        <f>IFERROR(VLOOKUP(C87,Merchants!$A$2:$D$41,2,FALSE),"Merchant not found")</f>
        <v/>
      </c>
      <c r="J87" s="2">
        <f>IFERROR(VLOOKUP(C87,Merchants!$A$2:$D$41,3,FALSE),"Merchant not found")</f>
        <v/>
      </c>
      <c r="K87" s="2">
        <f>IFERROR(VLOOKUP(C87,Merchants!$A$2:$D$41,4,FALSE),"Merchant not found")</f>
        <v/>
      </c>
      <c r="L87" s="2">
        <f>IFERROR(HLOOKUP(F87,Fee_Tiers!$B$4:$E$5,2,FALSE),0)</f>
        <v/>
      </c>
      <c r="M87" s="2">
        <f>IF(AND(E87&gt;500,K87&lt;&gt;"East"),"High-Value Merchant Day",IF(AND(E87&gt;500,K87="East"),"High-Value East (Excluded)",IF(E87&lt;=500,"Standard","Unknown")))</f>
        <v/>
      </c>
    </row>
    <row r="88">
      <c r="A88" s="2" t="inlineStr">
        <is>
          <t>TXN100086</t>
        </is>
      </c>
      <c r="B88" s="2" t="n">
        <v>246</v>
      </c>
      <c r="C88" s="2" t="n">
        <v>29</v>
      </c>
      <c r="D88" s="2" t="inlineStr">
        <is>
          <t>2026-01-19 09:30:00</t>
        </is>
      </c>
      <c r="E88" s="2" t="n">
        <v>49</v>
      </c>
      <c r="F88" s="2" t="inlineStr">
        <is>
          <t>Wallet</t>
        </is>
      </c>
      <c r="G88" s="2" t="inlineStr">
        <is>
          <t>captured</t>
        </is>
      </c>
      <c r="H88" s="2" t="n">
        <v>43</v>
      </c>
      <c r="I88" s="2">
        <f>IFERROR(VLOOKUP(C88,Merchants!$A$2:$D$41,2,FALSE),"Merchant not found")</f>
        <v/>
      </c>
      <c r="J88" s="2">
        <f>IFERROR(VLOOKUP(C88,Merchants!$A$2:$D$41,3,FALSE),"Merchant not found")</f>
        <v/>
      </c>
      <c r="K88" s="2">
        <f>IFERROR(VLOOKUP(C88,Merchants!$A$2:$D$41,4,FALSE),"Merchant not found")</f>
        <v/>
      </c>
      <c r="L88" s="2">
        <f>IFERROR(HLOOKUP(F88,Fee_Tiers!$B$4:$E$5,2,FALSE),0)</f>
        <v/>
      </c>
      <c r="M88" s="2">
        <f>IF(AND(E88&gt;500,K88&lt;&gt;"East"),"High-Value Merchant Day",IF(AND(E88&gt;500,K88="East"),"High-Value East (Excluded)",IF(E88&lt;=500,"Standard","Unknown")))</f>
        <v/>
      </c>
    </row>
    <row r="89">
      <c r="A89" s="2" t="inlineStr">
        <is>
          <t>TXN100087</t>
        </is>
      </c>
      <c r="B89" s="2" t="n">
        <v>245</v>
      </c>
      <c r="C89" s="2" t="n">
        <v>8</v>
      </c>
      <c r="D89" s="2" t="inlineStr">
        <is>
          <t>2026-01-06 01:16:00</t>
        </is>
      </c>
      <c r="E89" s="2" t="n">
        <v>49</v>
      </c>
      <c r="F89" s="2" t="inlineStr">
        <is>
          <t>UPI</t>
        </is>
      </c>
      <c r="G89" s="2" t="inlineStr">
        <is>
          <t>chargeback</t>
        </is>
      </c>
      <c r="H89" s="2" t="n">
        <v>8</v>
      </c>
      <c r="I89" s="2">
        <f>IFERROR(VLOOKUP(C89,Merchants!$A$2:$D$41,2,FALSE),"Merchant not found")</f>
        <v/>
      </c>
      <c r="J89" s="2">
        <f>IFERROR(VLOOKUP(C89,Merchants!$A$2:$D$41,3,FALSE),"Merchant not found")</f>
        <v/>
      </c>
      <c r="K89" s="2">
        <f>IFERROR(VLOOKUP(C89,Merchants!$A$2:$D$41,4,FALSE),"Merchant not found")</f>
        <v/>
      </c>
      <c r="L89" s="2">
        <f>IFERROR(HLOOKUP(F89,Fee_Tiers!$B$4:$E$5,2,FALSE),0)</f>
        <v/>
      </c>
      <c r="M89" s="2">
        <f>IF(AND(E89&gt;500,K89&lt;&gt;"East"),"High-Value Merchant Day",IF(AND(E89&gt;500,K89="East"),"High-Value East (Excluded)",IF(E89&lt;=500,"Standard","Unknown")))</f>
        <v/>
      </c>
    </row>
    <row r="90">
      <c r="A90" s="2" t="inlineStr">
        <is>
          <t>TXN100088</t>
        </is>
      </c>
      <c r="B90" s="2" t="n">
        <v>296</v>
      </c>
      <c r="C90" s="2" t="n">
        <v>4</v>
      </c>
      <c r="D90" s="2" t="inlineStr">
        <is>
          <t>2026-01-13 15:04:00</t>
        </is>
      </c>
      <c r="E90" s="2" t="n">
        <v>799</v>
      </c>
      <c r="F90" s="2" t="inlineStr">
        <is>
          <t>Wallet</t>
        </is>
      </c>
      <c r="G90" s="2" t="inlineStr">
        <is>
          <t>captured</t>
        </is>
      </c>
      <c r="H90" s="2" t="n">
        <v>19</v>
      </c>
      <c r="I90" s="2">
        <f>IFERROR(VLOOKUP(C90,Merchants!$A$2:$D$41,2,FALSE),"Merchant not found")</f>
        <v/>
      </c>
      <c r="J90" s="2">
        <f>IFERROR(VLOOKUP(C90,Merchants!$A$2:$D$41,3,FALSE),"Merchant not found")</f>
        <v/>
      </c>
      <c r="K90" s="2">
        <f>IFERROR(VLOOKUP(C90,Merchants!$A$2:$D$41,4,FALSE),"Merchant not found")</f>
        <v/>
      </c>
      <c r="L90" s="2">
        <f>IFERROR(HLOOKUP(F90,Fee_Tiers!$B$4:$E$5,2,FALSE),0)</f>
        <v/>
      </c>
      <c r="M90" s="2">
        <f>IF(AND(E90&gt;500,K90&lt;&gt;"East"),"High-Value Merchant Day",IF(AND(E90&gt;500,K90="East"),"High-Value East (Excluded)",IF(E90&lt;=500,"Standard","Unknown")))</f>
        <v/>
      </c>
    </row>
    <row r="91">
      <c r="A91" s="2" t="inlineStr">
        <is>
          <t>TXN100089</t>
        </is>
      </c>
      <c r="B91" s="2" t="n">
        <v>44</v>
      </c>
      <c r="C91" s="2" t="n">
        <v>16</v>
      </c>
      <c r="D91" s="2" t="inlineStr">
        <is>
          <t>2026-01-05 18:19:00</t>
        </is>
      </c>
      <c r="E91" s="2" t="n">
        <v>149</v>
      </c>
      <c r="F91" s="2" t="inlineStr">
        <is>
          <t>UPI</t>
        </is>
      </c>
      <c r="G91" s="2" t="inlineStr">
        <is>
          <t>captured</t>
        </is>
      </c>
      <c r="H91" s="2" t="n">
        <v>15</v>
      </c>
      <c r="I91" s="2">
        <f>IFERROR(VLOOKUP(C91,Merchants!$A$2:$D$41,2,FALSE),"Merchant not found")</f>
        <v/>
      </c>
      <c r="J91" s="2">
        <f>IFERROR(VLOOKUP(C91,Merchants!$A$2:$D$41,3,FALSE),"Merchant not found")</f>
        <v/>
      </c>
      <c r="K91" s="2">
        <f>IFERROR(VLOOKUP(C91,Merchants!$A$2:$D$41,4,FALSE),"Merchant not found")</f>
        <v/>
      </c>
      <c r="L91" s="2">
        <f>IFERROR(HLOOKUP(F91,Fee_Tiers!$B$4:$E$5,2,FALSE),0)</f>
        <v/>
      </c>
      <c r="M91" s="2">
        <f>IF(AND(E91&gt;500,K91&lt;&gt;"East"),"High-Value Merchant Day",IF(AND(E91&gt;500,K91="East"),"High-Value East (Excluded)",IF(E91&lt;=500,"Standard","Unknown")))</f>
        <v/>
      </c>
    </row>
    <row r="92">
      <c r="A92" s="2" t="inlineStr">
        <is>
          <t>TXN100090</t>
        </is>
      </c>
      <c r="B92" s="2" t="n">
        <v>306</v>
      </c>
      <c r="C92" s="2" t="n">
        <v>40</v>
      </c>
      <c r="D92" s="2" t="inlineStr">
        <is>
          <t>2026-01-18 13:38:00</t>
        </is>
      </c>
      <c r="E92" s="2" t="n">
        <v>799</v>
      </c>
      <c r="F92" s="2" t="inlineStr">
        <is>
          <t>Card</t>
        </is>
      </c>
      <c r="G92" s="2" t="inlineStr">
        <is>
          <t>captured</t>
        </is>
      </c>
      <c r="H92" s="2" t="n">
        <v>28</v>
      </c>
      <c r="I92" s="2">
        <f>IFERROR(VLOOKUP(C92,Merchants!$A$2:$D$41,2,FALSE),"Merchant not found")</f>
        <v/>
      </c>
      <c r="J92" s="2">
        <f>IFERROR(VLOOKUP(C92,Merchants!$A$2:$D$41,3,FALSE),"Merchant not found")</f>
        <v/>
      </c>
      <c r="K92" s="2">
        <f>IFERROR(VLOOKUP(C92,Merchants!$A$2:$D$41,4,FALSE),"Merchant not found")</f>
        <v/>
      </c>
      <c r="L92" s="2">
        <f>IFERROR(HLOOKUP(F92,Fee_Tiers!$B$4:$E$5,2,FALSE),0)</f>
        <v/>
      </c>
      <c r="M92" s="2">
        <f>IF(AND(E92&gt;500,K92&lt;&gt;"East"),"High-Value Merchant Day",IF(AND(E92&gt;500,K92="East"),"High-Value East (Excluded)",IF(E92&lt;=500,"Standard","Unknown")))</f>
        <v/>
      </c>
    </row>
    <row r="93">
      <c r="A93" s="2" t="inlineStr">
        <is>
          <t>TXN100091</t>
        </is>
      </c>
      <c r="B93" s="2" t="n">
        <v>231</v>
      </c>
      <c r="C93" s="2" t="n">
        <v>29</v>
      </c>
      <c r="D93" s="2" t="inlineStr">
        <is>
          <t>2026-01-25 16:24:00</t>
        </is>
      </c>
      <c r="E93" s="2" t="n">
        <v>299</v>
      </c>
      <c r="F93" s="2" t="inlineStr">
        <is>
          <t>UPI</t>
        </is>
      </c>
      <c r="G93" s="2" t="inlineStr">
        <is>
          <t>captured</t>
        </is>
      </c>
      <c r="H93" s="2" t="n">
        <v>38</v>
      </c>
      <c r="I93" s="2">
        <f>IFERROR(VLOOKUP(C93,Merchants!$A$2:$D$41,2,FALSE),"Merchant not found")</f>
        <v/>
      </c>
      <c r="J93" s="2">
        <f>IFERROR(VLOOKUP(C93,Merchants!$A$2:$D$41,3,FALSE),"Merchant not found")</f>
        <v/>
      </c>
      <c r="K93" s="2">
        <f>IFERROR(VLOOKUP(C93,Merchants!$A$2:$D$41,4,FALSE),"Merchant not found")</f>
        <v/>
      </c>
      <c r="L93" s="2">
        <f>IFERROR(HLOOKUP(F93,Fee_Tiers!$B$4:$E$5,2,FALSE),0)</f>
        <v/>
      </c>
      <c r="M93" s="2">
        <f>IF(AND(E93&gt;500,K93&lt;&gt;"East"),"High-Value Merchant Day",IF(AND(E93&gt;500,K93="East"),"High-Value East (Excluded)",IF(E93&lt;=500,"Standard","Unknown")))</f>
        <v/>
      </c>
    </row>
    <row r="94">
      <c r="A94" s="2" t="inlineStr">
        <is>
          <t>TXN100092</t>
        </is>
      </c>
      <c r="B94" s="2" t="n">
        <v>157</v>
      </c>
      <c r="C94" s="2" t="n">
        <v>37</v>
      </c>
      <c r="D94" s="2" t="inlineStr">
        <is>
          <t>2026-01-28 18:27:00</t>
        </is>
      </c>
      <c r="E94" s="2" t="n">
        <v>499</v>
      </c>
      <c r="F94" s="2" t="inlineStr">
        <is>
          <t>Wallet</t>
        </is>
      </c>
      <c r="G94" s="2" t="inlineStr">
        <is>
          <t>captured</t>
        </is>
      </c>
      <c r="H94" s="2" t="n">
        <v>79</v>
      </c>
      <c r="I94" s="2">
        <f>IFERROR(VLOOKUP(C94,Merchants!$A$2:$D$41,2,FALSE),"Merchant not found")</f>
        <v/>
      </c>
      <c r="J94" s="2">
        <f>IFERROR(VLOOKUP(C94,Merchants!$A$2:$D$41,3,FALSE),"Merchant not found")</f>
        <v/>
      </c>
      <c r="K94" s="2">
        <f>IFERROR(VLOOKUP(C94,Merchants!$A$2:$D$41,4,FALSE),"Merchant not found")</f>
        <v/>
      </c>
      <c r="L94" s="2">
        <f>IFERROR(HLOOKUP(F94,Fee_Tiers!$B$4:$E$5,2,FALSE),0)</f>
        <v/>
      </c>
      <c r="M94" s="2">
        <f>IF(AND(E94&gt;500,K94&lt;&gt;"East"),"High-Value Merchant Day",IF(AND(E94&gt;500,K94="East"),"High-Value East (Excluded)",IF(E94&lt;=500,"Standard","Unknown")))</f>
        <v/>
      </c>
    </row>
    <row r="95">
      <c r="A95" s="2" t="inlineStr">
        <is>
          <t>TXN100093</t>
        </is>
      </c>
      <c r="B95" s="2" t="n">
        <v>51</v>
      </c>
      <c r="C95" s="2" t="n">
        <v>14</v>
      </c>
      <c r="D95" s="2" t="inlineStr">
        <is>
          <t>2026-01-02 19:47:00</t>
        </is>
      </c>
      <c r="E95" s="2" t="n">
        <v>1499</v>
      </c>
      <c r="F95" s="2" t="inlineStr">
        <is>
          <t>UPI</t>
        </is>
      </c>
      <c r="G95" s="2" t="inlineStr">
        <is>
          <t>captured</t>
        </is>
      </c>
      <c r="H95" s="2" t="n">
        <v>80</v>
      </c>
      <c r="I95" s="2">
        <f>IFERROR(VLOOKUP(C95,Merchants!$A$2:$D$41,2,FALSE),"Merchant not found")</f>
        <v/>
      </c>
      <c r="J95" s="2">
        <f>IFERROR(VLOOKUP(C95,Merchants!$A$2:$D$41,3,FALSE),"Merchant not found")</f>
        <v/>
      </c>
      <c r="K95" s="2">
        <f>IFERROR(VLOOKUP(C95,Merchants!$A$2:$D$41,4,FALSE),"Merchant not found")</f>
        <v/>
      </c>
      <c r="L95" s="2">
        <f>IFERROR(HLOOKUP(F95,Fee_Tiers!$B$4:$E$5,2,FALSE),0)</f>
        <v/>
      </c>
      <c r="M95" s="2">
        <f>IF(AND(E95&gt;500,K95&lt;&gt;"East"),"High-Value Merchant Day",IF(AND(E95&gt;500,K95="East"),"High-Value East (Excluded)",IF(E95&lt;=500,"Standard","Unknown")))</f>
        <v/>
      </c>
    </row>
    <row r="96">
      <c r="A96" s="2" t="inlineStr">
        <is>
          <t>TXN100094</t>
        </is>
      </c>
      <c r="B96" s="2" t="n">
        <v>42</v>
      </c>
      <c r="C96" s="2" t="n">
        <v>11</v>
      </c>
      <c r="D96" s="2" t="inlineStr">
        <is>
          <t>2026-01-07 08:42:00</t>
        </is>
      </c>
      <c r="E96" s="2" t="n">
        <v>49</v>
      </c>
      <c r="F96" s="2" t="inlineStr">
        <is>
          <t>Wallet</t>
        </is>
      </c>
      <c r="G96" s="2" t="inlineStr">
        <is>
          <t>captured</t>
        </is>
      </c>
      <c r="H96" s="2" t="n">
        <v>30</v>
      </c>
      <c r="I96" s="2">
        <f>IFERROR(VLOOKUP(C96,Merchants!$A$2:$D$41,2,FALSE),"Merchant not found")</f>
        <v/>
      </c>
      <c r="J96" s="2">
        <f>IFERROR(VLOOKUP(C96,Merchants!$A$2:$D$41,3,FALSE),"Merchant not found")</f>
        <v/>
      </c>
      <c r="K96" s="2">
        <f>IFERROR(VLOOKUP(C96,Merchants!$A$2:$D$41,4,FALSE),"Merchant not found")</f>
        <v/>
      </c>
      <c r="L96" s="2">
        <f>IFERROR(HLOOKUP(F96,Fee_Tiers!$B$4:$E$5,2,FALSE),0)</f>
        <v/>
      </c>
      <c r="M96" s="2">
        <f>IF(AND(E96&gt;500,K96&lt;&gt;"East"),"High-Value Merchant Day",IF(AND(E96&gt;500,K96="East"),"High-Value East (Excluded)",IF(E96&lt;=500,"Standard","Unknown")))</f>
        <v/>
      </c>
    </row>
    <row r="97">
      <c r="A97" s="2" t="inlineStr">
        <is>
          <t>TXN100095</t>
        </is>
      </c>
      <c r="B97" s="2" t="n">
        <v>81</v>
      </c>
      <c r="C97" s="2" t="n">
        <v>1</v>
      </c>
      <c r="D97" s="2" t="inlineStr">
        <is>
          <t>2026-01-06 17:04:00</t>
        </is>
      </c>
      <c r="E97" s="2" t="n">
        <v>149</v>
      </c>
      <c r="F97" s="2" t="inlineStr">
        <is>
          <t>UPI</t>
        </is>
      </c>
      <c r="G97" s="2" t="inlineStr">
        <is>
          <t>captured</t>
        </is>
      </c>
      <c r="H97" s="2" t="n">
        <v>52</v>
      </c>
      <c r="I97" s="2">
        <f>IFERROR(VLOOKUP(C97,Merchants!$A$2:$D$41,2,FALSE),"Merchant not found")</f>
        <v/>
      </c>
      <c r="J97" s="2">
        <f>IFERROR(VLOOKUP(C97,Merchants!$A$2:$D$41,3,FALSE),"Merchant not found")</f>
        <v/>
      </c>
      <c r="K97" s="2">
        <f>IFERROR(VLOOKUP(C97,Merchants!$A$2:$D$41,4,FALSE),"Merchant not found")</f>
        <v/>
      </c>
      <c r="L97" s="2">
        <f>IFERROR(HLOOKUP(F97,Fee_Tiers!$B$4:$E$5,2,FALSE),0)</f>
        <v/>
      </c>
      <c r="M97" s="2">
        <f>IF(AND(E97&gt;500,K97&lt;&gt;"East"),"High-Value Merchant Day",IF(AND(E97&gt;500,K97="East"),"High-Value East (Excluded)",IF(E97&lt;=500,"Standard","Unknown")))</f>
        <v/>
      </c>
    </row>
    <row r="98">
      <c r="A98" s="2" t="inlineStr">
        <is>
          <t>TXN100096</t>
        </is>
      </c>
      <c r="B98" s="2" t="n">
        <v>241</v>
      </c>
      <c r="C98" s="2" t="n">
        <v>19</v>
      </c>
      <c r="D98" s="2" t="inlineStr">
        <is>
          <t>2026-01-15 22:38:00</t>
        </is>
      </c>
      <c r="E98" s="2" t="n">
        <v>299</v>
      </c>
      <c r="F98" s="2" t="inlineStr">
        <is>
          <t>UPI</t>
        </is>
      </c>
      <c r="G98" s="2" t="inlineStr">
        <is>
          <t>captured</t>
        </is>
      </c>
      <c r="H98" s="2" t="n">
        <v>4</v>
      </c>
      <c r="I98" s="2">
        <f>IFERROR(VLOOKUP(C98,Merchants!$A$2:$D$41,2,FALSE),"Merchant not found")</f>
        <v/>
      </c>
      <c r="J98" s="2">
        <f>IFERROR(VLOOKUP(C98,Merchants!$A$2:$D$41,3,FALSE),"Merchant not found")</f>
        <v/>
      </c>
      <c r="K98" s="2">
        <f>IFERROR(VLOOKUP(C98,Merchants!$A$2:$D$41,4,FALSE),"Merchant not found")</f>
        <v/>
      </c>
      <c r="L98" s="2">
        <f>IFERROR(HLOOKUP(F98,Fee_Tiers!$B$4:$E$5,2,FALSE),0)</f>
        <v/>
      </c>
      <c r="M98" s="2">
        <f>IF(AND(E98&gt;500,K98&lt;&gt;"East"),"High-Value Merchant Day",IF(AND(E98&gt;500,K98="East"),"High-Value East (Excluded)",IF(E98&lt;=500,"Standard","Unknown")))</f>
        <v/>
      </c>
    </row>
    <row r="99">
      <c r="A99" s="2" t="inlineStr">
        <is>
          <t>TXN100097</t>
        </is>
      </c>
      <c r="B99" s="2" t="n">
        <v>145</v>
      </c>
      <c r="C99" s="2" t="n">
        <v>30</v>
      </c>
      <c r="D99" s="2" t="inlineStr">
        <is>
          <t>2026-01-08 09:45:00</t>
        </is>
      </c>
      <c r="E99" s="2" t="n">
        <v>799</v>
      </c>
      <c r="F99" s="2" t="inlineStr">
        <is>
          <t>UPI</t>
        </is>
      </c>
      <c r="G99" s="2" t="inlineStr">
        <is>
          <t>captured</t>
        </is>
      </c>
      <c r="H99" s="2" t="n">
        <v>9</v>
      </c>
      <c r="I99" s="2">
        <f>IFERROR(VLOOKUP(C99,Merchants!$A$2:$D$41,2,FALSE),"Merchant not found")</f>
        <v/>
      </c>
      <c r="J99" s="2">
        <f>IFERROR(VLOOKUP(C99,Merchants!$A$2:$D$41,3,FALSE),"Merchant not found")</f>
        <v/>
      </c>
      <c r="K99" s="2">
        <f>IFERROR(VLOOKUP(C99,Merchants!$A$2:$D$41,4,FALSE),"Merchant not found")</f>
        <v/>
      </c>
      <c r="L99" s="2">
        <f>IFERROR(HLOOKUP(F99,Fee_Tiers!$B$4:$E$5,2,FALSE),0)</f>
        <v/>
      </c>
      <c r="M99" s="2">
        <f>IF(AND(E99&gt;500,K99&lt;&gt;"East"),"High-Value Merchant Day",IF(AND(E99&gt;500,K99="East"),"High-Value East (Excluded)",IF(E99&lt;=500,"Standard","Unknown")))</f>
        <v/>
      </c>
    </row>
    <row r="100">
      <c r="A100" s="2" t="inlineStr">
        <is>
          <t>TXN100098</t>
        </is>
      </c>
      <c r="B100" s="2" t="n">
        <v>136</v>
      </c>
      <c r="C100" s="2" t="n">
        <v>38</v>
      </c>
      <c r="D100" s="2" t="inlineStr">
        <is>
          <t>2026-01-22 07:59:00</t>
        </is>
      </c>
      <c r="E100" s="2" t="n">
        <v>299</v>
      </c>
      <c r="F100" s="2" t="inlineStr">
        <is>
          <t>Card</t>
        </is>
      </c>
      <c r="G100" s="2" t="inlineStr">
        <is>
          <t>captured</t>
        </is>
      </c>
      <c r="H100" s="2" t="n">
        <v>84</v>
      </c>
      <c r="I100" s="2">
        <f>IFERROR(VLOOKUP(C100,Merchants!$A$2:$D$41,2,FALSE),"Merchant not found")</f>
        <v/>
      </c>
      <c r="J100" s="2">
        <f>IFERROR(VLOOKUP(C100,Merchants!$A$2:$D$41,3,FALSE),"Merchant not found")</f>
        <v/>
      </c>
      <c r="K100" s="2">
        <f>IFERROR(VLOOKUP(C100,Merchants!$A$2:$D$41,4,FALSE),"Merchant not found")</f>
        <v/>
      </c>
      <c r="L100" s="2">
        <f>IFERROR(HLOOKUP(F100,Fee_Tiers!$B$4:$E$5,2,FALSE),0)</f>
        <v/>
      </c>
      <c r="M100" s="2">
        <f>IF(AND(E100&gt;500,K100&lt;&gt;"East"),"High-Value Merchant Day",IF(AND(E100&gt;500,K100="East"),"High-Value East (Excluded)",IF(E100&lt;=500,"Standard","Unknown")))</f>
        <v/>
      </c>
    </row>
    <row r="101">
      <c r="A101" s="2" t="inlineStr">
        <is>
          <t>TXN100099</t>
        </is>
      </c>
      <c r="B101" s="2" t="n">
        <v>59</v>
      </c>
      <c r="C101" s="2" t="n">
        <v>35</v>
      </c>
      <c r="D101" s="2" t="inlineStr">
        <is>
          <t>2026-01-26 06:27:00</t>
        </is>
      </c>
      <c r="E101" s="2" t="n">
        <v>499</v>
      </c>
      <c r="F101" s="2" t="inlineStr">
        <is>
          <t>UPI</t>
        </is>
      </c>
      <c r="G101" s="2" t="inlineStr">
        <is>
          <t>captured</t>
        </is>
      </c>
      <c r="H101" s="2" t="n">
        <v>28</v>
      </c>
      <c r="I101" s="2">
        <f>IFERROR(VLOOKUP(C101,Merchants!$A$2:$D$41,2,FALSE),"Merchant not found")</f>
        <v/>
      </c>
      <c r="J101" s="2">
        <f>IFERROR(VLOOKUP(C101,Merchants!$A$2:$D$41,3,FALSE),"Merchant not found")</f>
        <v/>
      </c>
      <c r="K101" s="2">
        <f>IFERROR(VLOOKUP(C101,Merchants!$A$2:$D$41,4,FALSE),"Merchant not found")</f>
        <v/>
      </c>
      <c r="L101" s="2">
        <f>IFERROR(HLOOKUP(F101,Fee_Tiers!$B$4:$E$5,2,FALSE),0)</f>
        <v/>
      </c>
      <c r="M101" s="2">
        <f>IF(AND(E101&gt;500,K101&lt;&gt;"East"),"High-Value Merchant Day",IF(AND(E101&gt;500,K101="East"),"High-Value East (Excluded)",IF(E101&lt;=500,"Standard","Unknown")))</f>
        <v/>
      </c>
    </row>
    <row r="102">
      <c r="A102" s="2" t="inlineStr">
        <is>
          <t>TXN100100</t>
        </is>
      </c>
      <c r="B102" s="2" t="n">
        <v>137</v>
      </c>
      <c r="C102" s="2" t="n">
        <v>10</v>
      </c>
      <c r="D102" s="2" t="inlineStr">
        <is>
          <t>2026-01-21 04:58:00</t>
        </is>
      </c>
      <c r="E102" s="2" t="n">
        <v>299</v>
      </c>
      <c r="F102" s="2" t="inlineStr">
        <is>
          <t>UPI</t>
        </is>
      </c>
      <c r="G102" s="2" t="inlineStr">
        <is>
          <t>captured</t>
        </is>
      </c>
      <c r="H102" s="2" t="n">
        <v>9</v>
      </c>
      <c r="I102" s="2">
        <f>IFERROR(VLOOKUP(C102,Merchants!$A$2:$D$41,2,FALSE),"Merchant not found")</f>
        <v/>
      </c>
      <c r="J102" s="2">
        <f>IFERROR(VLOOKUP(C102,Merchants!$A$2:$D$41,3,FALSE),"Merchant not found")</f>
        <v/>
      </c>
      <c r="K102" s="2">
        <f>IFERROR(VLOOKUP(C102,Merchants!$A$2:$D$41,4,FALSE),"Merchant not found")</f>
        <v/>
      </c>
      <c r="L102" s="2">
        <f>IFERROR(HLOOKUP(F102,Fee_Tiers!$B$4:$E$5,2,FALSE),0)</f>
        <v/>
      </c>
      <c r="M102" s="2">
        <f>IF(AND(E102&gt;500,K102&lt;&gt;"East"),"High-Value Merchant Day",IF(AND(E102&gt;500,K102="East"),"High-Value East (Excluded)",IF(E102&lt;=500,"Standard","Unknown")))</f>
        <v/>
      </c>
    </row>
    <row r="103">
      <c r="A103" s="2" t="inlineStr">
        <is>
          <t>TXN100101</t>
        </is>
      </c>
      <c r="B103" s="2" t="n">
        <v>158</v>
      </c>
      <c r="C103" s="2" t="n">
        <v>39</v>
      </c>
      <c r="D103" s="2" t="inlineStr">
        <is>
          <t>2026-01-02 05:50:00</t>
        </is>
      </c>
      <c r="E103" s="2" t="n">
        <v>499</v>
      </c>
      <c r="F103" s="2" t="inlineStr">
        <is>
          <t>Netbanking</t>
        </is>
      </c>
      <c r="G103" s="2" t="inlineStr">
        <is>
          <t>captured</t>
        </is>
      </c>
      <c r="H103" s="2" t="n">
        <v>95</v>
      </c>
      <c r="I103" s="2">
        <f>IFERROR(VLOOKUP(C103,Merchants!$A$2:$D$41,2,FALSE),"Merchant not found")</f>
        <v/>
      </c>
      <c r="J103" s="2">
        <f>IFERROR(VLOOKUP(C103,Merchants!$A$2:$D$41,3,FALSE),"Merchant not found")</f>
        <v/>
      </c>
      <c r="K103" s="2">
        <f>IFERROR(VLOOKUP(C103,Merchants!$A$2:$D$41,4,FALSE),"Merchant not found")</f>
        <v/>
      </c>
      <c r="L103" s="2">
        <f>IFERROR(HLOOKUP(F103,Fee_Tiers!$B$4:$E$5,2,FALSE),0)</f>
        <v/>
      </c>
      <c r="M103" s="2">
        <f>IF(AND(E103&gt;500,K103&lt;&gt;"East"),"High-Value Merchant Day",IF(AND(E103&gt;500,K103="East"),"High-Value East (Excluded)",IF(E103&lt;=500,"Standard","Unknown")))</f>
        <v/>
      </c>
    </row>
    <row r="104">
      <c r="A104" s="2" t="inlineStr">
        <is>
          <t>TXN100102</t>
        </is>
      </c>
      <c r="B104" s="2" t="n">
        <v>148</v>
      </c>
      <c r="C104" s="2" t="n">
        <v>29</v>
      </c>
      <c r="D104" s="2" t="inlineStr">
        <is>
          <t>2026-01-27 18:58:00</t>
        </is>
      </c>
      <c r="E104" s="2" t="n">
        <v>99</v>
      </c>
      <c r="F104" s="2" t="inlineStr">
        <is>
          <t>Card</t>
        </is>
      </c>
      <c r="G104" s="2" t="inlineStr">
        <is>
          <t>captured</t>
        </is>
      </c>
      <c r="H104" s="2" t="n">
        <v>15</v>
      </c>
      <c r="I104" s="2">
        <f>IFERROR(VLOOKUP(C104,Merchants!$A$2:$D$41,2,FALSE),"Merchant not found")</f>
        <v/>
      </c>
      <c r="J104" s="2">
        <f>IFERROR(VLOOKUP(C104,Merchants!$A$2:$D$41,3,FALSE),"Merchant not found")</f>
        <v/>
      </c>
      <c r="K104" s="2">
        <f>IFERROR(VLOOKUP(C104,Merchants!$A$2:$D$41,4,FALSE),"Merchant not found")</f>
        <v/>
      </c>
      <c r="L104" s="2">
        <f>IFERROR(HLOOKUP(F104,Fee_Tiers!$B$4:$E$5,2,FALSE),0)</f>
        <v/>
      </c>
      <c r="M104" s="2">
        <f>IF(AND(E104&gt;500,K104&lt;&gt;"East"),"High-Value Merchant Day",IF(AND(E104&gt;500,K104="East"),"High-Value East (Excluded)",IF(E104&lt;=500,"Standard","Unknown")))</f>
        <v/>
      </c>
    </row>
    <row r="105">
      <c r="A105" s="2" t="inlineStr">
        <is>
          <t>TXN100103</t>
        </is>
      </c>
      <c r="B105" s="2" t="n">
        <v>207</v>
      </c>
      <c r="C105" s="2" t="n">
        <v>18</v>
      </c>
      <c r="D105" s="2" t="inlineStr">
        <is>
          <t>2026-01-15 22:19:00</t>
        </is>
      </c>
      <c r="E105" s="2" t="n">
        <v>149</v>
      </c>
      <c r="F105" s="2" t="inlineStr">
        <is>
          <t>UPI</t>
        </is>
      </c>
      <c r="G105" s="2" t="inlineStr">
        <is>
          <t>captured</t>
        </is>
      </c>
      <c r="H105" s="2" t="n">
        <v>64</v>
      </c>
      <c r="I105" s="2">
        <f>IFERROR(VLOOKUP(C105,Merchants!$A$2:$D$41,2,FALSE),"Merchant not found")</f>
        <v/>
      </c>
      <c r="J105" s="2">
        <f>IFERROR(VLOOKUP(C105,Merchants!$A$2:$D$41,3,FALSE),"Merchant not found")</f>
        <v/>
      </c>
      <c r="K105" s="2">
        <f>IFERROR(VLOOKUP(C105,Merchants!$A$2:$D$41,4,FALSE),"Merchant not found")</f>
        <v/>
      </c>
      <c r="L105" s="2">
        <f>IFERROR(HLOOKUP(F105,Fee_Tiers!$B$4:$E$5,2,FALSE),0)</f>
        <v/>
      </c>
      <c r="M105" s="2">
        <f>IF(AND(E105&gt;500,K105&lt;&gt;"East"),"High-Value Merchant Day",IF(AND(E105&gt;500,K105="East"),"High-Value East (Excluded)",IF(E105&lt;=500,"Standard","Unknown")))</f>
        <v/>
      </c>
    </row>
    <row r="106">
      <c r="A106" s="2" t="inlineStr">
        <is>
          <t>TXN100104</t>
        </is>
      </c>
      <c r="B106" s="2" t="n">
        <v>42</v>
      </c>
      <c r="C106" s="2" t="n">
        <v>39</v>
      </c>
      <c r="D106" s="2" t="inlineStr">
        <is>
          <t>2026-01-18 15:28:00</t>
        </is>
      </c>
      <c r="E106" s="2" t="n">
        <v>2999</v>
      </c>
      <c r="F106" s="2" t="inlineStr">
        <is>
          <t>Card</t>
        </is>
      </c>
      <c r="G106" s="2" t="inlineStr">
        <is>
          <t>captured</t>
        </is>
      </c>
      <c r="H106" s="2" t="n">
        <v>5</v>
      </c>
      <c r="I106" s="2">
        <f>IFERROR(VLOOKUP(C106,Merchants!$A$2:$D$41,2,FALSE),"Merchant not found")</f>
        <v/>
      </c>
      <c r="J106" s="2">
        <f>IFERROR(VLOOKUP(C106,Merchants!$A$2:$D$41,3,FALSE),"Merchant not found")</f>
        <v/>
      </c>
      <c r="K106" s="2">
        <f>IFERROR(VLOOKUP(C106,Merchants!$A$2:$D$41,4,FALSE),"Merchant not found")</f>
        <v/>
      </c>
      <c r="L106" s="2">
        <f>IFERROR(HLOOKUP(F106,Fee_Tiers!$B$4:$E$5,2,FALSE),0)</f>
        <v/>
      </c>
      <c r="M106" s="2">
        <f>IF(AND(E106&gt;500,K106&lt;&gt;"East"),"High-Value Merchant Day",IF(AND(E106&gt;500,K106="East"),"High-Value East (Excluded)",IF(E106&lt;=500,"Standard","Unknown")))</f>
        <v/>
      </c>
    </row>
    <row r="107">
      <c r="A107" s="2" t="inlineStr">
        <is>
          <t>TXN100105</t>
        </is>
      </c>
      <c r="B107" s="2" t="n">
        <v>166</v>
      </c>
      <c r="C107" s="2" t="n">
        <v>39</v>
      </c>
      <c r="D107" s="2" t="inlineStr">
        <is>
          <t>2026-01-29 13:47:00</t>
        </is>
      </c>
      <c r="E107" s="2" t="n">
        <v>149</v>
      </c>
      <c r="F107" s="2" t="inlineStr">
        <is>
          <t>UPI</t>
        </is>
      </c>
      <c r="G107" s="2" t="inlineStr">
        <is>
          <t>captured</t>
        </is>
      </c>
      <c r="H107" s="2" t="n">
        <v>32</v>
      </c>
      <c r="I107" s="2">
        <f>IFERROR(VLOOKUP(C107,Merchants!$A$2:$D$41,2,FALSE),"Merchant not found")</f>
        <v/>
      </c>
      <c r="J107" s="2">
        <f>IFERROR(VLOOKUP(C107,Merchants!$A$2:$D$41,3,FALSE),"Merchant not found")</f>
        <v/>
      </c>
      <c r="K107" s="2">
        <f>IFERROR(VLOOKUP(C107,Merchants!$A$2:$D$41,4,FALSE),"Merchant not found")</f>
        <v/>
      </c>
      <c r="L107" s="2">
        <f>IFERROR(HLOOKUP(F107,Fee_Tiers!$B$4:$E$5,2,FALSE),0)</f>
        <v/>
      </c>
      <c r="M107" s="2">
        <f>IF(AND(E107&gt;500,K107&lt;&gt;"East"),"High-Value Merchant Day",IF(AND(E107&gt;500,K107="East"),"High-Value East (Excluded)",IF(E107&lt;=500,"Standard","Unknown")))</f>
        <v/>
      </c>
    </row>
    <row r="108">
      <c r="A108" s="2" t="inlineStr">
        <is>
          <t>TXN100106</t>
        </is>
      </c>
      <c r="B108" s="2" t="n">
        <v>346</v>
      </c>
      <c r="C108" s="2" t="n">
        <v>37</v>
      </c>
      <c r="D108" s="2" t="inlineStr">
        <is>
          <t>2026-01-01 02:14:00</t>
        </is>
      </c>
      <c r="E108" s="2" t="n">
        <v>99</v>
      </c>
      <c r="F108" s="2" t="inlineStr">
        <is>
          <t>UPI</t>
        </is>
      </c>
      <c r="G108" s="2" t="inlineStr">
        <is>
          <t>captured</t>
        </is>
      </c>
      <c r="H108" s="2" t="n">
        <v>75</v>
      </c>
      <c r="I108" s="2">
        <f>IFERROR(VLOOKUP(C108,Merchants!$A$2:$D$41,2,FALSE),"Merchant not found")</f>
        <v/>
      </c>
      <c r="J108" s="2">
        <f>IFERROR(VLOOKUP(C108,Merchants!$A$2:$D$41,3,FALSE),"Merchant not found")</f>
        <v/>
      </c>
      <c r="K108" s="2">
        <f>IFERROR(VLOOKUP(C108,Merchants!$A$2:$D$41,4,FALSE),"Merchant not found")</f>
        <v/>
      </c>
      <c r="L108" s="2">
        <f>IFERROR(HLOOKUP(F108,Fee_Tiers!$B$4:$E$5,2,FALSE),0)</f>
        <v/>
      </c>
      <c r="M108" s="2">
        <f>IF(AND(E108&gt;500,K108&lt;&gt;"East"),"High-Value Merchant Day",IF(AND(E108&gt;500,K108="East"),"High-Value East (Excluded)",IF(E108&lt;=500,"Standard","Unknown")))</f>
        <v/>
      </c>
    </row>
    <row r="109">
      <c r="A109" s="2" t="inlineStr">
        <is>
          <t>TXN100107</t>
        </is>
      </c>
      <c r="B109" s="2" t="n">
        <v>138</v>
      </c>
      <c r="C109" s="2" t="n">
        <v>37</v>
      </c>
      <c r="D109" s="2" t="inlineStr">
        <is>
          <t>2026-01-01 21:52:00</t>
        </is>
      </c>
      <c r="E109" s="2" t="n">
        <v>499</v>
      </c>
      <c r="F109" s="2" t="inlineStr">
        <is>
          <t>UPI</t>
        </is>
      </c>
      <c r="G109" s="2" t="inlineStr">
        <is>
          <t>captured</t>
        </is>
      </c>
      <c r="H109" s="2" t="n">
        <v>5</v>
      </c>
      <c r="I109" s="2">
        <f>IFERROR(VLOOKUP(C109,Merchants!$A$2:$D$41,2,FALSE),"Merchant not found")</f>
        <v/>
      </c>
      <c r="J109" s="2">
        <f>IFERROR(VLOOKUP(C109,Merchants!$A$2:$D$41,3,FALSE),"Merchant not found")</f>
        <v/>
      </c>
      <c r="K109" s="2">
        <f>IFERROR(VLOOKUP(C109,Merchants!$A$2:$D$41,4,FALSE),"Merchant not found")</f>
        <v/>
      </c>
      <c r="L109" s="2">
        <f>IFERROR(HLOOKUP(F109,Fee_Tiers!$B$4:$E$5,2,FALSE),0)</f>
        <v/>
      </c>
      <c r="M109" s="2">
        <f>IF(AND(E109&gt;500,K109&lt;&gt;"East"),"High-Value Merchant Day",IF(AND(E109&gt;500,K109="East"),"High-Value East (Excluded)",IF(E109&lt;=500,"Standard","Unknown")))</f>
        <v/>
      </c>
    </row>
    <row r="110">
      <c r="A110" s="2" t="inlineStr">
        <is>
          <t>TXN100108</t>
        </is>
      </c>
      <c r="B110" s="2" t="n">
        <v>266</v>
      </c>
      <c r="C110" s="2" t="n">
        <v>29</v>
      </c>
      <c r="D110" s="2" t="inlineStr">
        <is>
          <t>2026-01-25 05:30:00</t>
        </is>
      </c>
      <c r="E110" s="2" t="n">
        <v>499</v>
      </c>
      <c r="F110" s="2" t="inlineStr">
        <is>
          <t>Wallet</t>
        </is>
      </c>
      <c r="G110" s="2" t="inlineStr">
        <is>
          <t>failed</t>
        </is>
      </c>
      <c r="H110" s="2" t="n">
        <v>35</v>
      </c>
      <c r="I110" s="2">
        <f>IFERROR(VLOOKUP(C110,Merchants!$A$2:$D$41,2,FALSE),"Merchant not found")</f>
        <v/>
      </c>
      <c r="J110" s="2">
        <f>IFERROR(VLOOKUP(C110,Merchants!$A$2:$D$41,3,FALSE),"Merchant not found")</f>
        <v/>
      </c>
      <c r="K110" s="2">
        <f>IFERROR(VLOOKUP(C110,Merchants!$A$2:$D$41,4,FALSE),"Merchant not found")</f>
        <v/>
      </c>
      <c r="L110" s="2">
        <f>IFERROR(HLOOKUP(F110,Fee_Tiers!$B$4:$E$5,2,FALSE),0)</f>
        <v/>
      </c>
      <c r="M110" s="2">
        <f>IF(AND(E110&gt;500,K110&lt;&gt;"East"),"High-Value Merchant Day",IF(AND(E110&gt;500,K110="East"),"High-Value East (Excluded)",IF(E110&lt;=500,"Standard","Unknown")))</f>
        <v/>
      </c>
    </row>
    <row r="111">
      <c r="A111" s="2" t="inlineStr">
        <is>
          <t>TXN100109</t>
        </is>
      </c>
      <c r="B111" s="2" t="n">
        <v>326</v>
      </c>
      <c r="C111" s="2" t="n">
        <v>32</v>
      </c>
      <c r="D111" s="2" t="inlineStr">
        <is>
          <t>2026-01-06 18:27:00</t>
        </is>
      </c>
      <c r="E111" s="2" t="n">
        <v>149</v>
      </c>
      <c r="F111" s="2" t="inlineStr">
        <is>
          <t>UPI</t>
        </is>
      </c>
      <c r="G111" s="2" t="inlineStr">
        <is>
          <t>captured</t>
        </is>
      </c>
      <c r="H111" s="2" t="n">
        <v>11</v>
      </c>
      <c r="I111" s="2">
        <f>IFERROR(VLOOKUP(C111,Merchants!$A$2:$D$41,2,FALSE),"Merchant not found")</f>
        <v/>
      </c>
      <c r="J111" s="2">
        <f>IFERROR(VLOOKUP(C111,Merchants!$A$2:$D$41,3,FALSE),"Merchant not found")</f>
        <v/>
      </c>
      <c r="K111" s="2">
        <f>IFERROR(VLOOKUP(C111,Merchants!$A$2:$D$41,4,FALSE),"Merchant not found")</f>
        <v/>
      </c>
      <c r="L111" s="2">
        <f>IFERROR(HLOOKUP(F111,Fee_Tiers!$B$4:$E$5,2,FALSE),0)</f>
        <v/>
      </c>
      <c r="M111" s="2">
        <f>IF(AND(E111&gt;500,K111&lt;&gt;"East"),"High-Value Merchant Day",IF(AND(E111&gt;500,K111="East"),"High-Value East (Excluded)",IF(E111&lt;=500,"Standard","Unknown")))</f>
        <v/>
      </c>
    </row>
    <row r="112">
      <c r="A112" s="2" t="inlineStr">
        <is>
          <t>TXN100110</t>
        </is>
      </c>
      <c r="B112" s="2" t="n">
        <v>171</v>
      </c>
      <c r="C112" s="2" t="n">
        <v>21</v>
      </c>
      <c r="D112" s="2" t="inlineStr">
        <is>
          <t>2026-01-16 11:26:00</t>
        </is>
      </c>
      <c r="E112" s="2" t="n">
        <v>799</v>
      </c>
      <c r="F112" s="2" t="inlineStr">
        <is>
          <t>UPI</t>
        </is>
      </c>
      <c r="G112" s="2" t="inlineStr">
        <is>
          <t>captured</t>
        </is>
      </c>
      <c r="H112" s="2" t="n">
        <v>85</v>
      </c>
      <c r="I112" s="2">
        <f>IFERROR(VLOOKUP(C112,Merchants!$A$2:$D$41,2,FALSE),"Merchant not found")</f>
        <v/>
      </c>
      <c r="J112" s="2">
        <f>IFERROR(VLOOKUP(C112,Merchants!$A$2:$D$41,3,FALSE),"Merchant not found")</f>
        <v/>
      </c>
      <c r="K112" s="2">
        <f>IFERROR(VLOOKUP(C112,Merchants!$A$2:$D$41,4,FALSE),"Merchant not found")</f>
        <v/>
      </c>
      <c r="L112" s="2">
        <f>IFERROR(HLOOKUP(F112,Fee_Tiers!$B$4:$E$5,2,FALSE),0)</f>
        <v/>
      </c>
      <c r="M112" s="2">
        <f>IF(AND(E112&gt;500,K112&lt;&gt;"East"),"High-Value Merchant Day",IF(AND(E112&gt;500,K112="East"),"High-Value East (Excluded)",IF(E112&lt;=500,"Standard","Unknown")))</f>
        <v/>
      </c>
    </row>
    <row r="113">
      <c r="A113" s="2" t="inlineStr">
        <is>
          <t>TXN100111</t>
        </is>
      </c>
      <c r="B113" s="2" t="n">
        <v>211</v>
      </c>
      <c r="C113" s="2" t="n">
        <v>32</v>
      </c>
      <c r="D113" s="2" t="inlineStr">
        <is>
          <t>2026-01-04 05:21:00</t>
        </is>
      </c>
      <c r="E113" s="2" t="n">
        <v>49</v>
      </c>
      <c r="F113" s="2" t="inlineStr">
        <is>
          <t>UPI</t>
        </is>
      </c>
      <c r="G113" s="2" t="inlineStr">
        <is>
          <t>captured</t>
        </is>
      </c>
      <c r="H113" s="2" t="n">
        <v>36</v>
      </c>
      <c r="I113" s="2">
        <f>IFERROR(VLOOKUP(C113,Merchants!$A$2:$D$41,2,FALSE),"Merchant not found")</f>
        <v/>
      </c>
      <c r="J113" s="2">
        <f>IFERROR(VLOOKUP(C113,Merchants!$A$2:$D$41,3,FALSE),"Merchant not found")</f>
        <v/>
      </c>
      <c r="K113" s="2">
        <f>IFERROR(VLOOKUP(C113,Merchants!$A$2:$D$41,4,FALSE),"Merchant not found")</f>
        <v/>
      </c>
      <c r="L113" s="2">
        <f>IFERROR(HLOOKUP(F113,Fee_Tiers!$B$4:$E$5,2,FALSE),0)</f>
        <v/>
      </c>
      <c r="M113" s="2">
        <f>IF(AND(E113&gt;500,K113&lt;&gt;"East"),"High-Value Merchant Day",IF(AND(E113&gt;500,K113="East"),"High-Value East (Excluded)",IF(E113&lt;=500,"Standard","Unknown")))</f>
        <v/>
      </c>
    </row>
    <row r="114">
      <c r="A114" s="2" t="inlineStr">
        <is>
          <t>TXN100112</t>
        </is>
      </c>
      <c r="B114" s="2" t="n">
        <v>282</v>
      </c>
      <c r="C114" s="2" t="n">
        <v>3</v>
      </c>
      <c r="D114" s="2" t="inlineStr">
        <is>
          <t>2026-01-22 12:52:00</t>
        </is>
      </c>
      <c r="E114" s="2" t="n">
        <v>499</v>
      </c>
      <c r="F114" s="2" t="inlineStr">
        <is>
          <t>UPI</t>
        </is>
      </c>
      <c r="G114" s="2" t="inlineStr">
        <is>
          <t>captured</t>
        </is>
      </c>
      <c r="H114" s="2" t="n">
        <v>58</v>
      </c>
      <c r="I114" s="2">
        <f>IFERROR(VLOOKUP(C114,Merchants!$A$2:$D$41,2,FALSE),"Merchant not found")</f>
        <v/>
      </c>
      <c r="J114" s="2">
        <f>IFERROR(VLOOKUP(C114,Merchants!$A$2:$D$41,3,FALSE),"Merchant not found")</f>
        <v/>
      </c>
      <c r="K114" s="2">
        <f>IFERROR(VLOOKUP(C114,Merchants!$A$2:$D$41,4,FALSE),"Merchant not found")</f>
        <v/>
      </c>
      <c r="L114" s="2">
        <f>IFERROR(HLOOKUP(F114,Fee_Tiers!$B$4:$E$5,2,FALSE),0)</f>
        <v/>
      </c>
      <c r="M114" s="2">
        <f>IF(AND(E114&gt;500,K114&lt;&gt;"East"),"High-Value Merchant Day",IF(AND(E114&gt;500,K114="East"),"High-Value East (Excluded)",IF(E114&lt;=500,"Standard","Unknown")))</f>
        <v/>
      </c>
    </row>
    <row r="115">
      <c r="A115" s="2" t="inlineStr">
        <is>
          <t>TXN100113</t>
        </is>
      </c>
      <c r="B115" s="2" t="n">
        <v>166</v>
      </c>
      <c r="C115" s="2" t="n">
        <v>8</v>
      </c>
      <c r="D115" s="2" t="inlineStr">
        <is>
          <t>2026-01-03 10:16:00</t>
        </is>
      </c>
      <c r="E115" s="2" t="n">
        <v>299</v>
      </c>
      <c r="F115" s="2" t="inlineStr">
        <is>
          <t>UPI</t>
        </is>
      </c>
      <c r="G115" s="2" t="inlineStr">
        <is>
          <t>captured</t>
        </is>
      </c>
      <c r="H115" s="2" t="n">
        <v>98</v>
      </c>
      <c r="I115" s="2">
        <f>IFERROR(VLOOKUP(C115,Merchants!$A$2:$D$41,2,FALSE),"Merchant not found")</f>
        <v/>
      </c>
      <c r="J115" s="2">
        <f>IFERROR(VLOOKUP(C115,Merchants!$A$2:$D$41,3,FALSE),"Merchant not found")</f>
        <v/>
      </c>
      <c r="K115" s="2">
        <f>IFERROR(VLOOKUP(C115,Merchants!$A$2:$D$41,4,FALSE),"Merchant not found")</f>
        <v/>
      </c>
      <c r="L115" s="2">
        <f>IFERROR(HLOOKUP(F115,Fee_Tiers!$B$4:$E$5,2,FALSE),0)</f>
        <v/>
      </c>
      <c r="M115" s="2">
        <f>IF(AND(E115&gt;500,K115&lt;&gt;"East"),"High-Value Merchant Day",IF(AND(E115&gt;500,K115="East"),"High-Value East (Excluded)",IF(E115&lt;=500,"Standard","Unknown")))</f>
        <v/>
      </c>
    </row>
    <row r="116">
      <c r="A116" s="2" t="inlineStr">
        <is>
          <t>TXN100114</t>
        </is>
      </c>
      <c r="B116" s="2" t="n">
        <v>1</v>
      </c>
      <c r="C116" s="2" t="n">
        <v>35</v>
      </c>
      <c r="D116" s="2" t="inlineStr">
        <is>
          <t>2026-01-13 16:52:00</t>
        </is>
      </c>
      <c r="E116" s="2" t="n">
        <v>149</v>
      </c>
      <c r="F116" s="2" t="inlineStr">
        <is>
          <t>UPI</t>
        </is>
      </c>
      <c r="G116" s="2" t="inlineStr">
        <is>
          <t>captured</t>
        </is>
      </c>
      <c r="H116" s="2" t="n">
        <v>59</v>
      </c>
      <c r="I116" s="2">
        <f>IFERROR(VLOOKUP(C116,Merchants!$A$2:$D$41,2,FALSE),"Merchant not found")</f>
        <v/>
      </c>
      <c r="J116" s="2">
        <f>IFERROR(VLOOKUP(C116,Merchants!$A$2:$D$41,3,FALSE),"Merchant not found")</f>
        <v/>
      </c>
      <c r="K116" s="2">
        <f>IFERROR(VLOOKUP(C116,Merchants!$A$2:$D$41,4,FALSE),"Merchant not found")</f>
        <v/>
      </c>
      <c r="L116" s="2">
        <f>IFERROR(HLOOKUP(F116,Fee_Tiers!$B$4:$E$5,2,FALSE),0)</f>
        <v/>
      </c>
      <c r="M116" s="2">
        <f>IF(AND(E116&gt;500,K116&lt;&gt;"East"),"High-Value Merchant Day",IF(AND(E116&gt;500,K116="East"),"High-Value East (Excluded)",IF(E116&lt;=500,"Standard","Unknown")))</f>
        <v/>
      </c>
    </row>
    <row r="117">
      <c r="A117" s="2" t="inlineStr">
        <is>
          <t>TXN100115</t>
        </is>
      </c>
      <c r="B117" s="2" t="n">
        <v>266</v>
      </c>
      <c r="C117" s="2" t="n">
        <v>24</v>
      </c>
      <c r="D117" s="2" t="inlineStr">
        <is>
          <t>2026-01-14 01:12:00</t>
        </is>
      </c>
      <c r="E117" s="2" t="n">
        <v>499</v>
      </c>
      <c r="F117" s="2" t="inlineStr">
        <is>
          <t>UPI</t>
        </is>
      </c>
      <c r="G117" s="2" t="inlineStr">
        <is>
          <t>captured</t>
        </is>
      </c>
      <c r="H117" s="2" t="n">
        <v>79</v>
      </c>
      <c r="I117" s="2">
        <f>IFERROR(VLOOKUP(C117,Merchants!$A$2:$D$41,2,FALSE),"Merchant not found")</f>
        <v/>
      </c>
      <c r="J117" s="2">
        <f>IFERROR(VLOOKUP(C117,Merchants!$A$2:$D$41,3,FALSE),"Merchant not found")</f>
        <v/>
      </c>
      <c r="K117" s="2">
        <f>IFERROR(VLOOKUP(C117,Merchants!$A$2:$D$41,4,FALSE),"Merchant not found")</f>
        <v/>
      </c>
      <c r="L117" s="2">
        <f>IFERROR(HLOOKUP(F117,Fee_Tiers!$B$4:$E$5,2,FALSE),0)</f>
        <v/>
      </c>
      <c r="M117" s="2">
        <f>IF(AND(E117&gt;500,K117&lt;&gt;"East"),"High-Value Merchant Day",IF(AND(E117&gt;500,K117="East"),"High-Value East (Excluded)",IF(E117&lt;=500,"Standard","Unknown")))</f>
        <v/>
      </c>
    </row>
    <row r="118">
      <c r="A118" s="2" t="inlineStr">
        <is>
          <t>TXN100116</t>
        </is>
      </c>
      <c r="B118" s="2" t="n">
        <v>227</v>
      </c>
      <c r="C118" s="2" t="n">
        <v>4</v>
      </c>
      <c r="D118" s="2" t="inlineStr">
        <is>
          <t>2026-01-25 15:40:00</t>
        </is>
      </c>
      <c r="E118" s="2" t="n">
        <v>499</v>
      </c>
      <c r="F118" s="2" t="inlineStr">
        <is>
          <t>UPI</t>
        </is>
      </c>
      <c r="G118" s="2" t="inlineStr">
        <is>
          <t>captured</t>
        </is>
      </c>
      <c r="H118" s="2" t="n">
        <v>26</v>
      </c>
      <c r="I118" s="2">
        <f>IFERROR(VLOOKUP(C118,Merchants!$A$2:$D$41,2,FALSE),"Merchant not found")</f>
        <v/>
      </c>
      <c r="J118" s="2">
        <f>IFERROR(VLOOKUP(C118,Merchants!$A$2:$D$41,3,FALSE),"Merchant not found")</f>
        <v/>
      </c>
      <c r="K118" s="2">
        <f>IFERROR(VLOOKUP(C118,Merchants!$A$2:$D$41,4,FALSE),"Merchant not found")</f>
        <v/>
      </c>
      <c r="L118" s="2">
        <f>IFERROR(HLOOKUP(F118,Fee_Tiers!$B$4:$E$5,2,FALSE),0)</f>
        <v/>
      </c>
      <c r="M118" s="2">
        <f>IF(AND(E118&gt;500,K118&lt;&gt;"East"),"High-Value Merchant Day",IF(AND(E118&gt;500,K118="East"),"High-Value East (Excluded)",IF(E118&lt;=500,"Standard","Unknown")))</f>
        <v/>
      </c>
    </row>
    <row r="119">
      <c r="A119" s="2" t="inlineStr">
        <is>
          <t>TXN100117</t>
        </is>
      </c>
      <c r="B119" s="2" t="n">
        <v>148</v>
      </c>
      <c r="C119" s="2" t="n">
        <v>29</v>
      </c>
      <c r="D119" s="2" t="inlineStr">
        <is>
          <t>2026-01-09 17:08:00</t>
        </is>
      </c>
      <c r="E119" s="2" t="n">
        <v>499</v>
      </c>
      <c r="F119" s="2" t="inlineStr">
        <is>
          <t>UPI</t>
        </is>
      </c>
      <c r="G119" s="2" t="inlineStr">
        <is>
          <t>captured</t>
        </is>
      </c>
      <c r="H119" s="2" t="n">
        <v>89</v>
      </c>
      <c r="I119" s="2">
        <f>IFERROR(VLOOKUP(C119,Merchants!$A$2:$D$41,2,FALSE),"Merchant not found")</f>
        <v/>
      </c>
      <c r="J119" s="2">
        <f>IFERROR(VLOOKUP(C119,Merchants!$A$2:$D$41,3,FALSE),"Merchant not found")</f>
        <v/>
      </c>
      <c r="K119" s="2">
        <f>IFERROR(VLOOKUP(C119,Merchants!$A$2:$D$41,4,FALSE),"Merchant not found")</f>
        <v/>
      </c>
      <c r="L119" s="2">
        <f>IFERROR(HLOOKUP(F119,Fee_Tiers!$B$4:$E$5,2,FALSE),0)</f>
        <v/>
      </c>
      <c r="M119" s="2">
        <f>IF(AND(E119&gt;500,K119&lt;&gt;"East"),"High-Value Merchant Day",IF(AND(E119&gt;500,K119="East"),"High-Value East (Excluded)",IF(E119&lt;=500,"Standard","Unknown")))</f>
        <v/>
      </c>
    </row>
    <row r="120">
      <c r="A120" s="2" t="inlineStr">
        <is>
          <t>TXN100118</t>
        </is>
      </c>
      <c r="B120" s="2" t="n">
        <v>323</v>
      </c>
      <c r="C120" s="2" t="n">
        <v>39</v>
      </c>
      <c r="D120" s="2" t="inlineStr">
        <is>
          <t>2026-01-16 03:01:00</t>
        </is>
      </c>
      <c r="E120" s="2" t="n">
        <v>499</v>
      </c>
      <c r="F120" s="2" t="inlineStr">
        <is>
          <t>UPI</t>
        </is>
      </c>
      <c r="G120" s="2" t="inlineStr">
        <is>
          <t>captured</t>
        </is>
      </c>
      <c r="H120" s="2" t="n">
        <v>30</v>
      </c>
      <c r="I120" s="2">
        <f>IFERROR(VLOOKUP(C120,Merchants!$A$2:$D$41,2,FALSE),"Merchant not found")</f>
        <v/>
      </c>
      <c r="J120" s="2">
        <f>IFERROR(VLOOKUP(C120,Merchants!$A$2:$D$41,3,FALSE),"Merchant not found")</f>
        <v/>
      </c>
      <c r="K120" s="2">
        <f>IFERROR(VLOOKUP(C120,Merchants!$A$2:$D$41,4,FALSE),"Merchant not found")</f>
        <v/>
      </c>
      <c r="L120" s="2">
        <f>IFERROR(HLOOKUP(F120,Fee_Tiers!$B$4:$E$5,2,FALSE),0)</f>
        <v/>
      </c>
      <c r="M120" s="2">
        <f>IF(AND(E120&gt;500,K120&lt;&gt;"East"),"High-Value Merchant Day",IF(AND(E120&gt;500,K120="East"),"High-Value East (Excluded)",IF(E120&lt;=500,"Standard","Unknown")))</f>
        <v/>
      </c>
    </row>
    <row r="121">
      <c r="A121" s="2" t="inlineStr">
        <is>
          <t>TXN100119</t>
        </is>
      </c>
      <c r="B121" s="2" t="n">
        <v>283</v>
      </c>
      <c r="C121" s="2" t="n">
        <v>1</v>
      </c>
      <c r="D121" s="2" t="inlineStr">
        <is>
          <t>2026-01-23 05:19:00</t>
        </is>
      </c>
      <c r="E121" s="2" t="n">
        <v>2999</v>
      </c>
      <c r="F121" s="2" t="inlineStr">
        <is>
          <t>Wallet</t>
        </is>
      </c>
      <c r="G121" s="2" t="inlineStr">
        <is>
          <t>captured</t>
        </is>
      </c>
      <c r="H121" s="2" t="n">
        <v>70</v>
      </c>
      <c r="I121" s="2">
        <f>IFERROR(VLOOKUP(C121,Merchants!$A$2:$D$41,2,FALSE),"Merchant not found")</f>
        <v/>
      </c>
      <c r="J121" s="2">
        <f>IFERROR(VLOOKUP(C121,Merchants!$A$2:$D$41,3,FALSE),"Merchant not found")</f>
        <v/>
      </c>
      <c r="K121" s="2">
        <f>IFERROR(VLOOKUP(C121,Merchants!$A$2:$D$41,4,FALSE),"Merchant not found")</f>
        <v/>
      </c>
      <c r="L121" s="2">
        <f>IFERROR(HLOOKUP(F121,Fee_Tiers!$B$4:$E$5,2,FALSE),0)</f>
        <v/>
      </c>
      <c r="M121" s="2">
        <f>IF(AND(E121&gt;500,K121&lt;&gt;"East"),"High-Value Merchant Day",IF(AND(E121&gt;500,K121="East"),"High-Value East (Excluded)",IF(E121&lt;=500,"Standard","Unknown")))</f>
        <v/>
      </c>
    </row>
    <row r="122">
      <c r="A122" s="2" t="inlineStr">
        <is>
          <t>TXN100120</t>
        </is>
      </c>
      <c r="B122" s="2" t="n">
        <v>59</v>
      </c>
      <c r="C122" s="2" t="n">
        <v>30</v>
      </c>
      <c r="D122" s="2" t="inlineStr">
        <is>
          <t>2026-01-14 02:14:00</t>
        </is>
      </c>
      <c r="E122" s="2" t="n">
        <v>499</v>
      </c>
      <c r="F122" s="2" t="inlineStr">
        <is>
          <t>UPI</t>
        </is>
      </c>
      <c r="G122" s="2" t="inlineStr">
        <is>
          <t>captured</t>
        </is>
      </c>
      <c r="H122" s="2" t="n">
        <v>15</v>
      </c>
      <c r="I122" s="2">
        <f>IFERROR(VLOOKUP(C122,Merchants!$A$2:$D$41,2,FALSE),"Merchant not found")</f>
        <v/>
      </c>
      <c r="J122" s="2">
        <f>IFERROR(VLOOKUP(C122,Merchants!$A$2:$D$41,3,FALSE),"Merchant not found")</f>
        <v/>
      </c>
      <c r="K122" s="2">
        <f>IFERROR(VLOOKUP(C122,Merchants!$A$2:$D$41,4,FALSE),"Merchant not found")</f>
        <v/>
      </c>
      <c r="L122" s="2">
        <f>IFERROR(HLOOKUP(F122,Fee_Tiers!$B$4:$E$5,2,FALSE),0)</f>
        <v/>
      </c>
      <c r="M122" s="2">
        <f>IF(AND(E122&gt;500,K122&lt;&gt;"East"),"High-Value Merchant Day",IF(AND(E122&gt;500,K122="East"),"High-Value East (Excluded)",IF(E122&lt;=500,"Standard","Unknown")))</f>
        <v/>
      </c>
    </row>
    <row r="123">
      <c r="A123" s="2" t="inlineStr">
        <is>
          <t>TXN100121</t>
        </is>
      </c>
      <c r="B123" s="2" t="n">
        <v>150</v>
      </c>
      <c r="C123" s="2" t="n">
        <v>33</v>
      </c>
      <c r="D123" s="2" t="inlineStr">
        <is>
          <t>2026-01-21 04:31:00</t>
        </is>
      </c>
      <c r="E123" s="2" t="n">
        <v>2999</v>
      </c>
      <c r="F123" s="2" t="inlineStr">
        <is>
          <t>UPI</t>
        </is>
      </c>
      <c r="G123" s="2" t="inlineStr">
        <is>
          <t>captured</t>
        </is>
      </c>
      <c r="H123" s="2" t="n">
        <v>90</v>
      </c>
      <c r="I123" s="2">
        <f>IFERROR(VLOOKUP(C123,Merchants!$A$2:$D$41,2,FALSE),"Merchant not found")</f>
        <v/>
      </c>
      <c r="J123" s="2">
        <f>IFERROR(VLOOKUP(C123,Merchants!$A$2:$D$41,3,FALSE),"Merchant not found")</f>
        <v/>
      </c>
      <c r="K123" s="2">
        <f>IFERROR(VLOOKUP(C123,Merchants!$A$2:$D$41,4,FALSE),"Merchant not found")</f>
        <v/>
      </c>
      <c r="L123" s="2">
        <f>IFERROR(HLOOKUP(F123,Fee_Tiers!$B$4:$E$5,2,FALSE),0)</f>
        <v/>
      </c>
      <c r="M123" s="2">
        <f>IF(AND(E123&gt;500,K123&lt;&gt;"East"),"High-Value Merchant Day",IF(AND(E123&gt;500,K123="East"),"High-Value East (Excluded)",IF(E123&lt;=500,"Standard","Unknown")))</f>
        <v/>
      </c>
    </row>
    <row r="124">
      <c r="A124" s="2" t="inlineStr">
        <is>
          <t>TXN100122</t>
        </is>
      </c>
      <c r="B124" s="2" t="n">
        <v>248</v>
      </c>
      <c r="C124" s="2" t="n">
        <v>31</v>
      </c>
      <c r="D124" s="2" t="inlineStr">
        <is>
          <t>2026-01-09 13:53:00</t>
        </is>
      </c>
      <c r="E124" s="2" t="n">
        <v>1499</v>
      </c>
      <c r="F124" s="2" t="inlineStr">
        <is>
          <t>UPI</t>
        </is>
      </c>
      <c r="G124" s="2" t="inlineStr">
        <is>
          <t>failed</t>
        </is>
      </c>
      <c r="H124" s="2" t="n">
        <v>31</v>
      </c>
      <c r="I124" s="2">
        <f>IFERROR(VLOOKUP(C124,Merchants!$A$2:$D$41,2,FALSE),"Merchant not found")</f>
        <v/>
      </c>
      <c r="J124" s="2">
        <f>IFERROR(VLOOKUP(C124,Merchants!$A$2:$D$41,3,FALSE),"Merchant not found")</f>
        <v/>
      </c>
      <c r="K124" s="2">
        <f>IFERROR(VLOOKUP(C124,Merchants!$A$2:$D$41,4,FALSE),"Merchant not found")</f>
        <v/>
      </c>
      <c r="L124" s="2">
        <f>IFERROR(HLOOKUP(F124,Fee_Tiers!$B$4:$E$5,2,FALSE),0)</f>
        <v/>
      </c>
      <c r="M124" s="2">
        <f>IF(AND(E124&gt;500,K124&lt;&gt;"East"),"High-Value Merchant Day",IF(AND(E124&gt;500,K124="East"),"High-Value East (Excluded)",IF(E124&lt;=500,"Standard","Unknown")))</f>
        <v/>
      </c>
    </row>
    <row r="125">
      <c r="A125" s="2" t="inlineStr">
        <is>
          <t>TXN100123</t>
        </is>
      </c>
      <c r="B125" s="2" t="n">
        <v>197</v>
      </c>
      <c r="C125" s="2" t="n">
        <v>13</v>
      </c>
      <c r="D125" s="2" t="inlineStr">
        <is>
          <t>2026-01-15 17:09:00</t>
        </is>
      </c>
      <c r="E125" s="2" t="n">
        <v>49</v>
      </c>
      <c r="F125" s="2" t="inlineStr">
        <is>
          <t>UPI</t>
        </is>
      </c>
      <c r="G125" s="2" t="inlineStr">
        <is>
          <t>captured</t>
        </is>
      </c>
      <c r="H125" s="2" t="n">
        <v>76</v>
      </c>
      <c r="I125" s="2">
        <f>IFERROR(VLOOKUP(C125,Merchants!$A$2:$D$41,2,FALSE),"Merchant not found")</f>
        <v/>
      </c>
      <c r="J125" s="2">
        <f>IFERROR(VLOOKUP(C125,Merchants!$A$2:$D$41,3,FALSE),"Merchant not found")</f>
        <v/>
      </c>
      <c r="K125" s="2">
        <f>IFERROR(VLOOKUP(C125,Merchants!$A$2:$D$41,4,FALSE),"Merchant not found")</f>
        <v/>
      </c>
      <c r="L125" s="2">
        <f>IFERROR(HLOOKUP(F125,Fee_Tiers!$B$4:$E$5,2,FALSE),0)</f>
        <v/>
      </c>
      <c r="M125" s="2">
        <f>IF(AND(E125&gt;500,K125&lt;&gt;"East"),"High-Value Merchant Day",IF(AND(E125&gt;500,K125="East"),"High-Value East (Excluded)",IF(E125&lt;=500,"Standard","Unknown")))</f>
        <v/>
      </c>
    </row>
    <row r="126">
      <c r="A126" s="2" t="inlineStr">
        <is>
          <t>TXN100124</t>
        </is>
      </c>
      <c r="B126" s="2" t="n">
        <v>70</v>
      </c>
      <c r="C126" s="2" t="n">
        <v>5</v>
      </c>
      <c r="D126" s="2" t="inlineStr">
        <is>
          <t>2026-01-17 23:56:00</t>
        </is>
      </c>
      <c r="E126" s="2" t="n">
        <v>499</v>
      </c>
      <c r="F126" s="2" t="inlineStr">
        <is>
          <t>UPI</t>
        </is>
      </c>
      <c r="G126" s="2" t="inlineStr">
        <is>
          <t>captured</t>
        </is>
      </c>
      <c r="H126" s="2" t="n">
        <v>35</v>
      </c>
      <c r="I126" s="2">
        <f>IFERROR(VLOOKUP(C126,Merchants!$A$2:$D$41,2,FALSE),"Merchant not found")</f>
        <v/>
      </c>
      <c r="J126" s="2">
        <f>IFERROR(VLOOKUP(C126,Merchants!$A$2:$D$41,3,FALSE),"Merchant not found")</f>
        <v/>
      </c>
      <c r="K126" s="2">
        <f>IFERROR(VLOOKUP(C126,Merchants!$A$2:$D$41,4,FALSE),"Merchant not found")</f>
        <v/>
      </c>
      <c r="L126" s="2">
        <f>IFERROR(HLOOKUP(F126,Fee_Tiers!$B$4:$E$5,2,FALSE),0)</f>
        <v/>
      </c>
      <c r="M126" s="2">
        <f>IF(AND(E126&gt;500,K126&lt;&gt;"East"),"High-Value Merchant Day",IF(AND(E126&gt;500,K126="East"),"High-Value East (Excluded)",IF(E126&lt;=500,"Standard","Unknown")))</f>
        <v/>
      </c>
    </row>
    <row r="127">
      <c r="A127" s="2" t="inlineStr">
        <is>
          <t>TXN100125</t>
        </is>
      </c>
      <c r="B127" s="2" t="n">
        <v>260</v>
      </c>
      <c r="C127" s="2" t="n">
        <v>18</v>
      </c>
      <c r="D127" s="2" t="inlineStr">
        <is>
          <t>2026-01-25 13:21:00</t>
        </is>
      </c>
      <c r="E127" s="2" t="n">
        <v>1499</v>
      </c>
      <c r="F127" s="2" t="inlineStr">
        <is>
          <t>UPI</t>
        </is>
      </c>
      <c r="G127" s="2" t="inlineStr">
        <is>
          <t>captured</t>
        </is>
      </c>
      <c r="H127" s="2" t="n">
        <v>0</v>
      </c>
      <c r="I127" s="2">
        <f>IFERROR(VLOOKUP(C127,Merchants!$A$2:$D$41,2,FALSE),"Merchant not found")</f>
        <v/>
      </c>
      <c r="J127" s="2">
        <f>IFERROR(VLOOKUP(C127,Merchants!$A$2:$D$41,3,FALSE),"Merchant not found")</f>
        <v/>
      </c>
      <c r="K127" s="2">
        <f>IFERROR(VLOOKUP(C127,Merchants!$A$2:$D$41,4,FALSE),"Merchant not found")</f>
        <v/>
      </c>
      <c r="L127" s="2">
        <f>IFERROR(HLOOKUP(F127,Fee_Tiers!$B$4:$E$5,2,FALSE),0)</f>
        <v/>
      </c>
      <c r="M127" s="2">
        <f>IF(AND(E127&gt;500,K127&lt;&gt;"East"),"High-Value Merchant Day",IF(AND(E127&gt;500,K127="East"),"High-Value East (Excluded)",IF(E127&lt;=500,"Standard","Unknown")))</f>
        <v/>
      </c>
    </row>
    <row r="128">
      <c r="A128" s="2" t="inlineStr">
        <is>
          <t>TXN100126</t>
        </is>
      </c>
      <c r="B128" s="2" t="n">
        <v>301</v>
      </c>
      <c r="C128" s="2" t="n">
        <v>38</v>
      </c>
      <c r="D128" s="2" t="inlineStr">
        <is>
          <t>2026-01-10 23:19:00</t>
        </is>
      </c>
      <c r="E128" s="2" t="n">
        <v>99</v>
      </c>
      <c r="F128" s="2" t="inlineStr">
        <is>
          <t>UPI</t>
        </is>
      </c>
      <c r="G128" s="2" t="inlineStr">
        <is>
          <t>captured</t>
        </is>
      </c>
      <c r="H128" s="2" t="n">
        <v>84</v>
      </c>
      <c r="I128" s="2">
        <f>IFERROR(VLOOKUP(C128,Merchants!$A$2:$D$41,2,FALSE),"Merchant not found")</f>
        <v/>
      </c>
      <c r="J128" s="2">
        <f>IFERROR(VLOOKUP(C128,Merchants!$A$2:$D$41,3,FALSE),"Merchant not found")</f>
        <v/>
      </c>
      <c r="K128" s="2">
        <f>IFERROR(VLOOKUP(C128,Merchants!$A$2:$D$41,4,FALSE),"Merchant not found")</f>
        <v/>
      </c>
      <c r="L128" s="2">
        <f>IFERROR(HLOOKUP(F128,Fee_Tiers!$B$4:$E$5,2,FALSE),0)</f>
        <v/>
      </c>
      <c r="M128" s="2">
        <f>IF(AND(E128&gt;500,K128&lt;&gt;"East"),"High-Value Merchant Day",IF(AND(E128&gt;500,K128="East"),"High-Value East (Excluded)",IF(E128&lt;=500,"Standard","Unknown")))</f>
        <v/>
      </c>
    </row>
    <row r="129">
      <c r="A129" s="2" t="inlineStr">
        <is>
          <t>TXN100127</t>
        </is>
      </c>
      <c r="B129" s="2" t="n">
        <v>276</v>
      </c>
      <c r="C129" s="2" t="n">
        <v>31</v>
      </c>
      <c r="D129" s="2" t="inlineStr">
        <is>
          <t>2026-01-16 04:28:00</t>
        </is>
      </c>
      <c r="E129" s="2" t="n">
        <v>499</v>
      </c>
      <c r="F129" s="2" t="inlineStr">
        <is>
          <t>Card</t>
        </is>
      </c>
      <c r="G129" s="2" t="inlineStr">
        <is>
          <t>captured</t>
        </is>
      </c>
      <c r="H129" s="2" t="n">
        <v>44</v>
      </c>
      <c r="I129" s="2">
        <f>IFERROR(VLOOKUP(C129,Merchants!$A$2:$D$41,2,FALSE),"Merchant not found")</f>
        <v/>
      </c>
      <c r="J129" s="2">
        <f>IFERROR(VLOOKUP(C129,Merchants!$A$2:$D$41,3,FALSE),"Merchant not found")</f>
        <v/>
      </c>
      <c r="K129" s="2">
        <f>IFERROR(VLOOKUP(C129,Merchants!$A$2:$D$41,4,FALSE),"Merchant not found")</f>
        <v/>
      </c>
      <c r="L129" s="2">
        <f>IFERROR(HLOOKUP(F129,Fee_Tiers!$B$4:$E$5,2,FALSE),0)</f>
        <v/>
      </c>
      <c r="M129" s="2">
        <f>IF(AND(E129&gt;500,K129&lt;&gt;"East"),"High-Value Merchant Day",IF(AND(E129&gt;500,K129="East"),"High-Value East (Excluded)",IF(E129&lt;=500,"Standard","Unknown")))</f>
        <v/>
      </c>
    </row>
    <row r="130">
      <c r="A130" s="2" t="inlineStr">
        <is>
          <t>TXN100128</t>
        </is>
      </c>
      <c r="B130" s="2" t="n">
        <v>279</v>
      </c>
      <c r="C130" s="2" t="n">
        <v>25</v>
      </c>
      <c r="D130" s="2" t="inlineStr">
        <is>
          <t>2026-01-11 17:48:00</t>
        </is>
      </c>
      <c r="E130" s="2" t="n">
        <v>799</v>
      </c>
      <c r="F130" s="2" t="inlineStr">
        <is>
          <t>UPI</t>
        </is>
      </c>
      <c r="G130" s="2" t="inlineStr">
        <is>
          <t>captured</t>
        </is>
      </c>
      <c r="H130" s="2" t="n">
        <v>58</v>
      </c>
      <c r="I130" s="2">
        <f>IFERROR(VLOOKUP(C130,Merchants!$A$2:$D$41,2,FALSE),"Merchant not found")</f>
        <v/>
      </c>
      <c r="J130" s="2">
        <f>IFERROR(VLOOKUP(C130,Merchants!$A$2:$D$41,3,FALSE),"Merchant not found")</f>
        <v/>
      </c>
      <c r="K130" s="2">
        <f>IFERROR(VLOOKUP(C130,Merchants!$A$2:$D$41,4,FALSE),"Merchant not found")</f>
        <v/>
      </c>
      <c r="L130" s="2">
        <f>IFERROR(HLOOKUP(F130,Fee_Tiers!$B$4:$E$5,2,FALSE),0)</f>
        <v/>
      </c>
      <c r="M130" s="2">
        <f>IF(AND(E130&gt;500,K130&lt;&gt;"East"),"High-Value Merchant Day",IF(AND(E130&gt;500,K130="East"),"High-Value East (Excluded)",IF(E130&lt;=500,"Standard","Unknown")))</f>
        <v/>
      </c>
    </row>
    <row r="131">
      <c r="A131" s="2" t="inlineStr">
        <is>
          <t>TXN100129</t>
        </is>
      </c>
      <c r="B131" s="2" t="n">
        <v>97</v>
      </c>
      <c r="C131" s="2" t="n">
        <v>16</v>
      </c>
      <c r="D131" s="2" t="inlineStr">
        <is>
          <t>2026-01-30 10:55:00</t>
        </is>
      </c>
      <c r="E131" s="2" t="n">
        <v>799</v>
      </c>
      <c r="F131" s="2" t="inlineStr">
        <is>
          <t>Card</t>
        </is>
      </c>
      <c r="G131" s="2" t="inlineStr">
        <is>
          <t>captured</t>
        </is>
      </c>
      <c r="H131" s="2" t="n">
        <v>73</v>
      </c>
      <c r="I131" s="2">
        <f>IFERROR(VLOOKUP(C131,Merchants!$A$2:$D$41,2,FALSE),"Merchant not found")</f>
        <v/>
      </c>
      <c r="J131" s="2">
        <f>IFERROR(VLOOKUP(C131,Merchants!$A$2:$D$41,3,FALSE),"Merchant not found")</f>
        <v/>
      </c>
      <c r="K131" s="2">
        <f>IFERROR(VLOOKUP(C131,Merchants!$A$2:$D$41,4,FALSE),"Merchant not found")</f>
        <v/>
      </c>
      <c r="L131" s="2">
        <f>IFERROR(HLOOKUP(F131,Fee_Tiers!$B$4:$E$5,2,FALSE),0)</f>
        <v/>
      </c>
      <c r="M131" s="2">
        <f>IF(AND(E131&gt;500,K131&lt;&gt;"East"),"High-Value Merchant Day",IF(AND(E131&gt;500,K131="East"),"High-Value East (Excluded)",IF(E131&lt;=500,"Standard","Unknown")))</f>
        <v/>
      </c>
    </row>
    <row r="132">
      <c r="A132" s="2" t="inlineStr">
        <is>
          <t>TXN100130</t>
        </is>
      </c>
      <c r="B132" s="2" t="n">
        <v>211</v>
      </c>
      <c r="C132" s="2" t="n">
        <v>3</v>
      </c>
      <c r="D132" s="2" t="inlineStr">
        <is>
          <t>2026-01-13 07:54:00</t>
        </is>
      </c>
      <c r="E132" s="2" t="n">
        <v>149</v>
      </c>
      <c r="F132" s="2" t="inlineStr">
        <is>
          <t>UPI</t>
        </is>
      </c>
      <c r="G132" s="2" t="inlineStr">
        <is>
          <t>chargeback</t>
        </is>
      </c>
      <c r="H132" s="2" t="n">
        <v>40</v>
      </c>
      <c r="I132" s="2">
        <f>IFERROR(VLOOKUP(C132,Merchants!$A$2:$D$41,2,FALSE),"Merchant not found")</f>
        <v/>
      </c>
      <c r="J132" s="2">
        <f>IFERROR(VLOOKUP(C132,Merchants!$A$2:$D$41,3,FALSE),"Merchant not found")</f>
        <v/>
      </c>
      <c r="K132" s="2">
        <f>IFERROR(VLOOKUP(C132,Merchants!$A$2:$D$41,4,FALSE),"Merchant not found")</f>
        <v/>
      </c>
      <c r="L132" s="2">
        <f>IFERROR(HLOOKUP(F132,Fee_Tiers!$B$4:$E$5,2,FALSE),0)</f>
        <v/>
      </c>
      <c r="M132" s="2">
        <f>IF(AND(E132&gt;500,K132&lt;&gt;"East"),"High-Value Merchant Day",IF(AND(E132&gt;500,K132="East"),"High-Value East (Excluded)",IF(E132&lt;=500,"Standard","Unknown")))</f>
        <v/>
      </c>
    </row>
    <row r="133">
      <c r="A133" s="2" t="inlineStr">
        <is>
          <t>TXN100131</t>
        </is>
      </c>
      <c r="B133" s="2" t="n">
        <v>196</v>
      </c>
      <c r="C133" s="2" t="n">
        <v>25</v>
      </c>
      <c r="D133" s="2" t="inlineStr">
        <is>
          <t>2026-01-24 15:45:00</t>
        </is>
      </c>
      <c r="E133" s="2" t="n">
        <v>149</v>
      </c>
      <c r="F133" s="2" t="inlineStr">
        <is>
          <t>Netbanking</t>
        </is>
      </c>
      <c r="G133" s="2" t="inlineStr">
        <is>
          <t>captured</t>
        </is>
      </c>
      <c r="H133" s="2" t="n">
        <v>84</v>
      </c>
      <c r="I133" s="2">
        <f>IFERROR(VLOOKUP(C133,Merchants!$A$2:$D$41,2,FALSE),"Merchant not found")</f>
        <v/>
      </c>
      <c r="J133" s="2">
        <f>IFERROR(VLOOKUP(C133,Merchants!$A$2:$D$41,3,FALSE),"Merchant not found")</f>
        <v/>
      </c>
      <c r="K133" s="2">
        <f>IFERROR(VLOOKUP(C133,Merchants!$A$2:$D$41,4,FALSE),"Merchant not found")</f>
        <v/>
      </c>
      <c r="L133" s="2">
        <f>IFERROR(HLOOKUP(F133,Fee_Tiers!$B$4:$E$5,2,FALSE),0)</f>
        <v/>
      </c>
      <c r="M133" s="2">
        <f>IF(AND(E133&gt;500,K133&lt;&gt;"East"),"High-Value Merchant Day",IF(AND(E133&gt;500,K133="East"),"High-Value East (Excluded)",IF(E133&lt;=500,"Standard","Unknown")))</f>
        <v/>
      </c>
    </row>
    <row r="134">
      <c r="A134" s="2" t="inlineStr">
        <is>
          <t>TXN100132</t>
        </is>
      </c>
      <c r="B134" s="2" t="n">
        <v>254</v>
      </c>
      <c r="C134" s="2" t="n">
        <v>3</v>
      </c>
      <c r="D134" s="2" t="inlineStr">
        <is>
          <t>2026-01-26 20:09:00</t>
        </is>
      </c>
      <c r="E134" s="2" t="n">
        <v>149</v>
      </c>
      <c r="F134" s="2" t="inlineStr">
        <is>
          <t>Card</t>
        </is>
      </c>
      <c r="G134" s="2" t="inlineStr">
        <is>
          <t>captured</t>
        </is>
      </c>
      <c r="H134" s="2" t="n">
        <v>16</v>
      </c>
      <c r="I134" s="2">
        <f>IFERROR(VLOOKUP(C134,Merchants!$A$2:$D$41,2,FALSE),"Merchant not found")</f>
        <v/>
      </c>
      <c r="J134" s="2">
        <f>IFERROR(VLOOKUP(C134,Merchants!$A$2:$D$41,3,FALSE),"Merchant not found")</f>
        <v/>
      </c>
      <c r="K134" s="2">
        <f>IFERROR(VLOOKUP(C134,Merchants!$A$2:$D$41,4,FALSE),"Merchant not found")</f>
        <v/>
      </c>
      <c r="L134" s="2">
        <f>IFERROR(HLOOKUP(F134,Fee_Tiers!$B$4:$E$5,2,FALSE),0)</f>
        <v/>
      </c>
      <c r="M134" s="2">
        <f>IF(AND(E134&gt;500,K134&lt;&gt;"East"),"High-Value Merchant Day",IF(AND(E134&gt;500,K134="East"),"High-Value East (Excluded)",IF(E134&lt;=500,"Standard","Unknown")))</f>
        <v/>
      </c>
    </row>
    <row r="135">
      <c r="A135" s="2" t="inlineStr">
        <is>
          <t>TXN100133</t>
        </is>
      </c>
      <c r="B135" s="2" t="n">
        <v>52</v>
      </c>
      <c r="C135" s="2" t="n">
        <v>29</v>
      </c>
      <c r="D135" s="2" t="inlineStr">
        <is>
          <t>2026-01-17 18:21:00</t>
        </is>
      </c>
      <c r="E135" s="2" t="n">
        <v>49</v>
      </c>
      <c r="F135" s="2" t="inlineStr">
        <is>
          <t>Netbanking</t>
        </is>
      </c>
      <c r="G135" s="2" t="inlineStr">
        <is>
          <t>captured</t>
        </is>
      </c>
      <c r="H135" s="2" t="n">
        <v>12</v>
      </c>
      <c r="I135" s="2">
        <f>IFERROR(VLOOKUP(C135,Merchants!$A$2:$D$41,2,FALSE),"Merchant not found")</f>
        <v/>
      </c>
      <c r="J135" s="2">
        <f>IFERROR(VLOOKUP(C135,Merchants!$A$2:$D$41,3,FALSE),"Merchant not found")</f>
        <v/>
      </c>
      <c r="K135" s="2">
        <f>IFERROR(VLOOKUP(C135,Merchants!$A$2:$D$41,4,FALSE),"Merchant not found")</f>
        <v/>
      </c>
      <c r="L135" s="2">
        <f>IFERROR(HLOOKUP(F135,Fee_Tiers!$B$4:$E$5,2,FALSE),0)</f>
        <v/>
      </c>
      <c r="M135" s="2">
        <f>IF(AND(E135&gt;500,K135&lt;&gt;"East"),"High-Value Merchant Day",IF(AND(E135&gt;500,K135="East"),"High-Value East (Excluded)",IF(E135&lt;=500,"Standard","Unknown")))</f>
        <v/>
      </c>
    </row>
    <row r="136">
      <c r="A136" s="2" t="inlineStr">
        <is>
          <t>TXN100134</t>
        </is>
      </c>
      <c r="B136" s="2" t="n">
        <v>74</v>
      </c>
      <c r="C136" s="2" t="n">
        <v>27</v>
      </c>
      <c r="D136" s="2" t="inlineStr">
        <is>
          <t>2026-01-17 14:00:00</t>
        </is>
      </c>
      <c r="E136" s="2" t="n">
        <v>799</v>
      </c>
      <c r="F136" s="2" t="inlineStr">
        <is>
          <t>UPI</t>
        </is>
      </c>
      <c r="G136" s="2" t="inlineStr">
        <is>
          <t>captured</t>
        </is>
      </c>
      <c r="H136" s="2" t="n">
        <v>83</v>
      </c>
      <c r="I136" s="2">
        <f>IFERROR(VLOOKUP(C136,Merchants!$A$2:$D$41,2,FALSE),"Merchant not found")</f>
        <v/>
      </c>
      <c r="J136" s="2">
        <f>IFERROR(VLOOKUP(C136,Merchants!$A$2:$D$41,3,FALSE),"Merchant not found")</f>
        <v/>
      </c>
      <c r="K136" s="2">
        <f>IFERROR(VLOOKUP(C136,Merchants!$A$2:$D$41,4,FALSE),"Merchant not found")</f>
        <v/>
      </c>
      <c r="L136" s="2">
        <f>IFERROR(HLOOKUP(F136,Fee_Tiers!$B$4:$E$5,2,FALSE),0)</f>
        <v/>
      </c>
      <c r="M136" s="2">
        <f>IF(AND(E136&gt;500,K136&lt;&gt;"East"),"High-Value Merchant Day",IF(AND(E136&gt;500,K136="East"),"High-Value East (Excluded)",IF(E136&lt;=500,"Standard","Unknown")))</f>
        <v/>
      </c>
    </row>
    <row r="137">
      <c r="A137" s="2" t="inlineStr">
        <is>
          <t>TXN100135</t>
        </is>
      </c>
      <c r="B137" s="2" t="n">
        <v>136</v>
      </c>
      <c r="C137" s="2" t="n">
        <v>22</v>
      </c>
      <c r="D137" s="2" t="inlineStr">
        <is>
          <t>2026-01-05 02:30:00</t>
        </is>
      </c>
      <c r="E137" s="2" t="n">
        <v>149</v>
      </c>
      <c r="F137" s="2" t="inlineStr">
        <is>
          <t>UPI</t>
        </is>
      </c>
      <c r="G137" s="2" t="inlineStr">
        <is>
          <t>captured</t>
        </is>
      </c>
      <c r="H137" s="2" t="n">
        <v>79</v>
      </c>
      <c r="I137" s="2">
        <f>IFERROR(VLOOKUP(C137,Merchants!$A$2:$D$41,2,FALSE),"Merchant not found")</f>
        <v/>
      </c>
      <c r="J137" s="2">
        <f>IFERROR(VLOOKUP(C137,Merchants!$A$2:$D$41,3,FALSE),"Merchant not found")</f>
        <v/>
      </c>
      <c r="K137" s="2">
        <f>IFERROR(VLOOKUP(C137,Merchants!$A$2:$D$41,4,FALSE),"Merchant not found")</f>
        <v/>
      </c>
      <c r="L137" s="2">
        <f>IFERROR(HLOOKUP(F137,Fee_Tiers!$B$4:$E$5,2,FALSE),0)</f>
        <v/>
      </c>
      <c r="M137" s="2">
        <f>IF(AND(E137&gt;500,K137&lt;&gt;"East"),"High-Value Merchant Day",IF(AND(E137&gt;500,K137="East"),"High-Value East (Excluded)",IF(E137&lt;=500,"Standard","Unknown")))</f>
        <v/>
      </c>
    </row>
    <row r="138">
      <c r="A138" s="2" t="inlineStr">
        <is>
          <t>TXN100136</t>
        </is>
      </c>
      <c r="B138" s="2" t="n">
        <v>42</v>
      </c>
      <c r="C138" s="2" t="n">
        <v>22</v>
      </c>
      <c r="D138" s="2" t="inlineStr">
        <is>
          <t>2026-01-23 12:41:00</t>
        </is>
      </c>
      <c r="E138" s="2" t="n">
        <v>49</v>
      </c>
      <c r="F138" s="2" t="inlineStr">
        <is>
          <t>UPI</t>
        </is>
      </c>
      <c r="G138" s="2" t="inlineStr">
        <is>
          <t>captured</t>
        </is>
      </c>
      <c r="H138" s="2" t="n">
        <v>86</v>
      </c>
      <c r="I138" s="2">
        <f>IFERROR(VLOOKUP(C138,Merchants!$A$2:$D$41,2,FALSE),"Merchant not found")</f>
        <v/>
      </c>
      <c r="J138" s="2">
        <f>IFERROR(VLOOKUP(C138,Merchants!$A$2:$D$41,3,FALSE),"Merchant not found")</f>
        <v/>
      </c>
      <c r="K138" s="2">
        <f>IFERROR(VLOOKUP(C138,Merchants!$A$2:$D$41,4,FALSE),"Merchant not found")</f>
        <v/>
      </c>
      <c r="L138" s="2">
        <f>IFERROR(HLOOKUP(F138,Fee_Tiers!$B$4:$E$5,2,FALSE),0)</f>
        <v/>
      </c>
      <c r="M138" s="2">
        <f>IF(AND(E138&gt;500,K138&lt;&gt;"East"),"High-Value Merchant Day",IF(AND(E138&gt;500,K138="East"),"High-Value East (Excluded)",IF(E138&lt;=500,"Standard","Unknown")))</f>
        <v/>
      </c>
    </row>
    <row r="139">
      <c r="A139" s="2" t="inlineStr">
        <is>
          <t>TXN100137</t>
        </is>
      </c>
      <c r="B139" s="2" t="n">
        <v>163</v>
      </c>
      <c r="C139" s="2" t="n">
        <v>32</v>
      </c>
      <c r="D139" s="2" t="inlineStr">
        <is>
          <t>2026-01-28 17:24:00</t>
        </is>
      </c>
      <c r="E139" s="2" t="n">
        <v>2999</v>
      </c>
      <c r="F139" s="2" t="inlineStr">
        <is>
          <t>Wallet</t>
        </is>
      </c>
      <c r="G139" s="2" t="inlineStr">
        <is>
          <t>failed</t>
        </is>
      </c>
      <c r="H139" s="2" t="n">
        <v>69</v>
      </c>
      <c r="I139" s="2">
        <f>IFERROR(VLOOKUP(C139,Merchants!$A$2:$D$41,2,FALSE),"Merchant not found")</f>
        <v/>
      </c>
      <c r="J139" s="2">
        <f>IFERROR(VLOOKUP(C139,Merchants!$A$2:$D$41,3,FALSE),"Merchant not found")</f>
        <v/>
      </c>
      <c r="K139" s="2">
        <f>IFERROR(VLOOKUP(C139,Merchants!$A$2:$D$41,4,FALSE),"Merchant not found")</f>
        <v/>
      </c>
      <c r="L139" s="2">
        <f>IFERROR(HLOOKUP(F139,Fee_Tiers!$B$4:$E$5,2,FALSE),0)</f>
        <v/>
      </c>
      <c r="M139" s="2">
        <f>IF(AND(E139&gt;500,K139&lt;&gt;"East"),"High-Value Merchant Day",IF(AND(E139&gt;500,K139="East"),"High-Value East (Excluded)",IF(E139&lt;=500,"Standard","Unknown")))</f>
        <v/>
      </c>
    </row>
    <row r="140">
      <c r="A140" s="2" t="inlineStr">
        <is>
          <t>TXN100138</t>
        </is>
      </c>
      <c r="B140" s="2" t="n">
        <v>121</v>
      </c>
      <c r="C140" s="2" t="n">
        <v>19</v>
      </c>
      <c r="D140" s="2" t="inlineStr">
        <is>
          <t>2026-01-02 19:04:00</t>
        </is>
      </c>
      <c r="E140" s="2" t="n">
        <v>149</v>
      </c>
      <c r="F140" s="2" t="inlineStr">
        <is>
          <t>UPI</t>
        </is>
      </c>
      <c r="G140" s="2" t="inlineStr">
        <is>
          <t>captured</t>
        </is>
      </c>
      <c r="H140" s="2" t="n">
        <v>29</v>
      </c>
      <c r="I140" s="2">
        <f>IFERROR(VLOOKUP(C140,Merchants!$A$2:$D$41,2,FALSE),"Merchant not found")</f>
        <v/>
      </c>
      <c r="J140" s="2">
        <f>IFERROR(VLOOKUP(C140,Merchants!$A$2:$D$41,3,FALSE),"Merchant not found")</f>
        <v/>
      </c>
      <c r="K140" s="2">
        <f>IFERROR(VLOOKUP(C140,Merchants!$A$2:$D$41,4,FALSE),"Merchant not found")</f>
        <v/>
      </c>
      <c r="L140" s="2">
        <f>IFERROR(HLOOKUP(F140,Fee_Tiers!$B$4:$E$5,2,FALSE),0)</f>
        <v/>
      </c>
      <c r="M140" s="2">
        <f>IF(AND(E140&gt;500,K140&lt;&gt;"East"),"High-Value Merchant Day",IF(AND(E140&gt;500,K140="East"),"High-Value East (Excluded)",IF(E140&lt;=500,"Standard","Unknown")))</f>
        <v/>
      </c>
    </row>
    <row r="141">
      <c r="A141" s="2" t="inlineStr">
        <is>
          <t>TXN100139</t>
        </is>
      </c>
      <c r="B141" s="2" t="n">
        <v>51</v>
      </c>
      <c r="C141" s="2" t="n">
        <v>7</v>
      </c>
      <c r="D141" s="2" t="inlineStr">
        <is>
          <t>2026-01-24 02:27:00</t>
        </is>
      </c>
      <c r="E141" s="2" t="n">
        <v>499</v>
      </c>
      <c r="F141" s="2" t="inlineStr">
        <is>
          <t>Card</t>
        </is>
      </c>
      <c r="G141" s="2" t="inlineStr">
        <is>
          <t>captured</t>
        </is>
      </c>
      <c r="H141" s="2" t="n">
        <v>56</v>
      </c>
      <c r="I141" s="2">
        <f>IFERROR(VLOOKUP(C141,Merchants!$A$2:$D$41,2,FALSE),"Merchant not found")</f>
        <v/>
      </c>
      <c r="J141" s="2">
        <f>IFERROR(VLOOKUP(C141,Merchants!$A$2:$D$41,3,FALSE),"Merchant not found")</f>
        <v/>
      </c>
      <c r="K141" s="2">
        <f>IFERROR(VLOOKUP(C141,Merchants!$A$2:$D$41,4,FALSE),"Merchant not found")</f>
        <v/>
      </c>
      <c r="L141" s="2">
        <f>IFERROR(HLOOKUP(F141,Fee_Tiers!$B$4:$E$5,2,FALSE),0)</f>
        <v/>
      </c>
      <c r="M141" s="2">
        <f>IF(AND(E141&gt;500,K141&lt;&gt;"East"),"High-Value Merchant Day",IF(AND(E141&gt;500,K141="East"),"High-Value East (Excluded)",IF(E141&lt;=500,"Standard","Unknown")))</f>
        <v/>
      </c>
    </row>
    <row r="142">
      <c r="A142" s="2" t="inlineStr">
        <is>
          <t>TXN100140</t>
        </is>
      </c>
      <c r="B142" s="2" t="n">
        <v>15</v>
      </c>
      <c r="C142" s="2" t="n">
        <v>3</v>
      </c>
      <c r="D142" s="2" t="inlineStr">
        <is>
          <t>2026-01-06 22:19:00</t>
        </is>
      </c>
      <c r="E142" s="2" t="n">
        <v>799</v>
      </c>
      <c r="F142" s="2" t="inlineStr">
        <is>
          <t>UPI</t>
        </is>
      </c>
      <c r="G142" s="2" t="inlineStr">
        <is>
          <t>captured</t>
        </is>
      </c>
      <c r="H142" s="2" t="n">
        <v>41</v>
      </c>
      <c r="I142" s="2">
        <f>IFERROR(VLOOKUP(C142,Merchants!$A$2:$D$41,2,FALSE),"Merchant not found")</f>
        <v/>
      </c>
      <c r="J142" s="2">
        <f>IFERROR(VLOOKUP(C142,Merchants!$A$2:$D$41,3,FALSE),"Merchant not found")</f>
        <v/>
      </c>
      <c r="K142" s="2">
        <f>IFERROR(VLOOKUP(C142,Merchants!$A$2:$D$41,4,FALSE),"Merchant not found")</f>
        <v/>
      </c>
      <c r="L142" s="2">
        <f>IFERROR(HLOOKUP(F142,Fee_Tiers!$B$4:$E$5,2,FALSE),0)</f>
        <v/>
      </c>
      <c r="M142" s="2">
        <f>IF(AND(E142&gt;500,K142&lt;&gt;"East"),"High-Value Merchant Day",IF(AND(E142&gt;500,K142="East"),"High-Value East (Excluded)",IF(E142&lt;=500,"Standard","Unknown")))</f>
        <v/>
      </c>
    </row>
    <row r="143">
      <c r="A143" s="2" t="inlineStr">
        <is>
          <t>TXN100141</t>
        </is>
      </c>
      <c r="B143" s="2" t="n">
        <v>184</v>
      </c>
      <c r="C143" s="2" t="n">
        <v>24</v>
      </c>
      <c r="D143" s="2" t="inlineStr">
        <is>
          <t>2026-01-26 01:18:00</t>
        </is>
      </c>
      <c r="E143" s="2" t="n">
        <v>49</v>
      </c>
      <c r="F143" s="2" t="inlineStr">
        <is>
          <t>UPI</t>
        </is>
      </c>
      <c r="G143" s="2" t="inlineStr">
        <is>
          <t>captured</t>
        </is>
      </c>
      <c r="H143" s="2" t="n">
        <v>55</v>
      </c>
      <c r="I143" s="2">
        <f>IFERROR(VLOOKUP(C143,Merchants!$A$2:$D$41,2,FALSE),"Merchant not found")</f>
        <v/>
      </c>
      <c r="J143" s="2">
        <f>IFERROR(VLOOKUP(C143,Merchants!$A$2:$D$41,3,FALSE),"Merchant not found")</f>
        <v/>
      </c>
      <c r="K143" s="2">
        <f>IFERROR(VLOOKUP(C143,Merchants!$A$2:$D$41,4,FALSE),"Merchant not found")</f>
        <v/>
      </c>
      <c r="L143" s="2">
        <f>IFERROR(HLOOKUP(F143,Fee_Tiers!$B$4:$E$5,2,FALSE),0)</f>
        <v/>
      </c>
      <c r="M143" s="2">
        <f>IF(AND(E143&gt;500,K143&lt;&gt;"East"),"High-Value Merchant Day",IF(AND(E143&gt;500,K143="East"),"High-Value East (Excluded)",IF(E143&lt;=500,"Standard","Unknown")))</f>
        <v/>
      </c>
    </row>
    <row r="144">
      <c r="A144" s="2" t="inlineStr">
        <is>
          <t>TXN100142</t>
        </is>
      </c>
      <c r="B144" s="2" t="n">
        <v>211</v>
      </c>
      <c r="C144" s="2" t="n">
        <v>37</v>
      </c>
      <c r="D144" s="2" t="inlineStr">
        <is>
          <t>2026-01-05 07:33:00</t>
        </is>
      </c>
      <c r="E144" s="2" t="n">
        <v>1499</v>
      </c>
      <c r="F144" s="2" t="inlineStr">
        <is>
          <t>UPI</t>
        </is>
      </c>
      <c r="G144" s="2" t="inlineStr">
        <is>
          <t>captured</t>
        </is>
      </c>
      <c r="H144" s="2" t="n">
        <v>87</v>
      </c>
      <c r="I144" s="2">
        <f>IFERROR(VLOOKUP(C144,Merchants!$A$2:$D$41,2,FALSE),"Merchant not found")</f>
        <v/>
      </c>
      <c r="J144" s="2">
        <f>IFERROR(VLOOKUP(C144,Merchants!$A$2:$D$41,3,FALSE),"Merchant not found")</f>
        <v/>
      </c>
      <c r="K144" s="2">
        <f>IFERROR(VLOOKUP(C144,Merchants!$A$2:$D$41,4,FALSE),"Merchant not found")</f>
        <v/>
      </c>
      <c r="L144" s="2">
        <f>IFERROR(HLOOKUP(F144,Fee_Tiers!$B$4:$E$5,2,FALSE),0)</f>
        <v/>
      </c>
      <c r="M144" s="2">
        <f>IF(AND(E144&gt;500,K144&lt;&gt;"East"),"High-Value Merchant Day",IF(AND(E144&gt;500,K144="East"),"High-Value East (Excluded)",IF(E144&lt;=500,"Standard","Unknown")))</f>
        <v/>
      </c>
    </row>
    <row r="145">
      <c r="A145" s="2" t="inlineStr">
        <is>
          <t>TXN100143</t>
        </is>
      </c>
      <c r="B145" s="2" t="n">
        <v>90</v>
      </c>
      <c r="C145" s="2" t="n">
        <v>6</v>
      </c>
      <c r="D145" s="2" t="inlineStr">
        <is>
          <t>2026-01-26 05:10:00</t>
        </is>
      </c>
      <c r="E145" s="2" t="n">
        <v>49</v>
      </c>
      <c r="F145" s="2" t="inlineStr">
        <is>
          <t>Card</t>
        </is>
      </c>
      <c r="G145" s="2" t="inlineStr">
        <is>
          <t>captured</t>
        </is>
      </c>
      <c r="H145" s="2" t="n">
        <v>78</v>
      </c>
      <c r="I145" s="2">
        <f>IFERROR(VLOOKUP(C145,Merchants!$A$2:$D$41,2,FALSE),"Merchant not found")</f>
        <v/>
      </c>
      <c r="J145" s="2">
        <f>IFERROR(VLOOKUP(C145,Merchants!$A$2:$D$41,3,FALSE),"Merchant not found")</f>
        <v/>
      </c>
      <c r="K145" s="2">
        <f>IFERROR(VLOOKUP(C145,Merchants!$A$2:$D$41,4,FALSE),"Merchant not found")</f>
        <v/>
      </c>
      <c r="L145" s="2">
        <f>IFERROR(HLOOKUP(F145,Fee_Tiers!$B$4:$E$5,2,FALSE),0)</f>
        <v/>
      </c>
      <c r="M145" s="2">
        <f>IF(AND(E145&gt;500,K145&lt;&gt;"East"),"High-Value Merchant Day",IF(AND(E145&gt;500,K145="East"),"High-Value East (Excluded)",IF(E145&lt;=500,"Standard","Unknown")))</f>
        <v/>
      </c>
    </row>
    <row r="146">
      <c r="A146" s="2" t="inlineStr">
        <is>
          <t>TXN100144</t>
        </is>
      </c>
      <c r="B146" s="2" t="n">
        <v>350</v>
      </c>
      <c r="C146" s="2" t="n">
        <v>16</v>
      </c>
      <c r="D146" s="2" t="inlineStr">
        <is>
          <t>2026-01-28 12:39:00</t>
        </is>
      </c>
      <c r="E146" s="2" t="n">
        <v>49</v>
      </c>
      <c r="F146" s="2" t="inlineStr">
        <is>
          <t>UPI</t>
        </is>
      </c>
      <c r="G146" s="2" t="inlineStr">
        <is>
          <t>captured</t>
        </is>
      </c>
      <c r="H146" s="2" t="n">
        <v>63</v>
      </c>
      <c r="I146" s="2">
        <f>IFERROR(VLOOKUP(C146,Merchants!$A$2:$D$41,2,FALSE),"Merchant not found")</f>
        <v/>
      </c>
      <c r="J146" s="2">
        <f>IFERROR(VLOOKUP(C146,Merchants!$A$2:$D$41,3,FALSE),"Merchant not found")</f>
        <v/>
      </c>
      <c r="K146" s="2">
        <f>IFERROR(VLOOKUP(C146,Merchants!$A$2:$D$41,4,FALSE),"Merchant not found")</f>
        <v/>
      </c>
      <c r="L146" s="2">
        <f>IFERROR(HLOOKUP(F146,Fee_Tiers!$B$4:$E$5,2,FALSE),0)</f>
        <v/>
      </c>
      <c r="M146" s="2">
        <f>IF(AND(E146&gt;500,K146&lt;&gt;"East"),"High-Value Merchant Day",IF(AND(E146&gt;500,K146="East"),"High-Value East (Excluded)",IF(E146&lt;=500,"Standard","Unknown")))</f>
        <v/>
      </c>
    </row>
    <row r="147">
      <c r="A147" s="2" t="inlineStr">
        <is>
          <t>TXN100145</t>
        </is>
      </c>
      <c r="B147" s="2" t="n">
        <v>119</v>
      </c>
      <c r="C147" s="2" t="n">
        <v>30</v>
      </c>
      <c r="D147" s="2" t="inlineStr">
        <is>
          <t>2026-01-30 18:09:00</t>
        </is>
      </c>
      <c r="E147" s="2" t="n">
        <v>49</v>
      </c>
      <c r="F147" s="2" t="inlineStr">
        <is>
          <t>Card</t>
        </is>
      </c>
      <c r="G147" s="2" t="inlineStr">
        <is>
          <t>captured</t>
        </is>
      </c>
      <c r="H147" s="2" t="n">
        <v>81</v>
      </c>
      <c r="I147" s="2">
        <f>IFERROR(VLOOKUP(C147,Merchants!$A$2:$D$41,2,FALSE),"Merchant not found")</f>
        <v/>
      </c>
      <c r="J147" s="2">
        <f>IFERROR(VLOOKUP(C147,Merchants!$A$2:$D$41,3,FALSE),"Merchant not found")</f>
        <v/>
      </c>
      <c r="K147" s="2">
        <f>IFERROR(VLOOKUP(C147,Merchants!$A$2:$D$41,4,FALSE),"Merchant not found")</f>
        <v/>
      </c>
      <c r="L147" s="2">
        <f>IFERROR(HLOOKUP(F147,Fee_Tiers!$B$4:$E$5,2,FALSE),0)</f>
        <v/>
      </c>
      <c r="M147" s="2">
        <f>IF(AND(E147&gt;500,K147&lt;&gt;"East"),"High-Value Merchant Day",IF(AND(E147&gt;500,K147="East"),"High-Value East (Excluded)",IF(E147&lt;=500,"Standard","Unknown")))</f>
        <v/>
      </c>
    </row>
    <row r="148">
      <c r="A148" s="2" t="inlineStr">
        <is>
          <t>TXN100146</t>
        </is>
      </c>
      <c r="B148" s="2" t="n">
        <v>342</v>
      </c>
      <c r="C148" s="2" t="n">
        <v>1</v>
      </c>
      <c r="D148" s="2" t="inlineStr">
        <is>
          <t>2026-01-09 14:16:00</t>
        </is>
      </c>
      <c r="E148" s="2" t="n">
        <v>49</v>
      </c>
      <c r="F148" s="2" t="inlineStr">
        <is>
          <t>UPI</t>
        </is>
      </c>
      <c r="G148" s="2" t="inlineStr">
        <is>
          <t>captured</t>
        </is>
      </c>
      <c r="H148" s="2" t="n">
        <v>59</v>
      </c>
      <c r="I148" s="2">
        <f>IFERROR(VLOOKUP(C148,Merchants!$A$2:$D$41,2,FALSE),"Merchant not found")</f>
        <v/>
      </c>
      <c r="J148" s="2">
        <f>IFERROR(VLOOKUP(C148,Merchants!$A$2:$D$41,3,FALSE),"Merchant not found")</f>
        <v/>
      </c>
      <c r="K148" s="2">
        <f>IFERROR(VLOOKUP(C148,Merchants!$A$2:$D$41,4,FALSE),"Merchant not found")</f>
        <v/>
      </c>
      <c r="L148" s="2">
        <f>IFERROR(HLOOKUP(F148,Fee_Tiers!$B$4:$E$5,2,FALSE),0)</f>
        <v/>
      </c>
      <c r="M148" s="2">
        <f>IF(AND(E148&gt;500,K148&lt;&gt;"East"),"High-Value Merchant Day",IF(AND(E148&gt;500,K148="East"),"High-Value East (Excluded)",IF(E148&lt;=500,"Standard","Unknown")))</f>
        <v/>
      </c>
    </row>
    <row r="149">
      <c r="A149" s="2" t="inlineStr">
        <is>
          <t>TXN100147</t>
        </is>
      </c>
      <c r="B149" s="2" t="n">
        <v>280</v>
      </c>
      <c r="C149" s="2" t="n">
        <v>11</v>
      </c>
      <c r="D149" s="2" t="inlineStr">
        <is>
          <t>2026-01-29 09:43:00</t>
        </is>
      </c>
      <c r="E149" s="2" t="n">
        <v>149</v>
      </c>
      <c r="F149" s="2" t="inlineStr">
        <is>
          <t>UPI</t>
        </is>
      </c>
      <c r="G149" s="2" t="inlineStr">
        <is>
          <t>chargeback</t>
        </is>
      </c>
      <c r="H149" s="2" t="n">
        <v>9</v>
      </c>
      <c r="I149" s="2">
        <f>IFERROR(VLOOKUP(C149,Merchants!$A$2:$D$41,2,FALSE),"Merchant not found")</f>
        <v/>
      </c>
      <c r="J149" s="2">
        <f>IFERROR(VLOOKUP(C149,Merchants!$A$2:$D$41,3,FALSE),"Merchant not found")</f>
        <v/>
      </c>
      <c r="K149" s="2">
        <f>IFERROR(VLOOKUP(C149,Merchants!$A$2:$D$41,4,FALSE),"Merchant not found")</f>
        <v/>
      </c>
      <c r="L149" s="2">
        <f>IFERROR(HLOOKUP(F149,Fee_Tiers!$B$4:$E$5,2,FALSE),0)</f>
        <v/>
      </c>
      <c r="M149" s="2">
        <f>IF(AND(E149&gt;500,K149&lt;&gt;"East"),"High-Value Merchant Day",IF(AND(E149&gt;500,K149="East"),"High-Value East (Excluded)",IF(E149&lt;=500,"Standard","Unknown")))</f>
        <v/>
      </c>
    </row>
    <row r="150">
      <c r="A150" s="2" t="inlineStr">
        <is>
          <t>TXN100148</t>
        </is>
      </c>
      <c r="B150" s="2" t="n">
        <v>154</v>
      </c>
      <c r="C150" s="2" t="n">
        <v>28</v>
      </c>
      <c r="D150" s="2" t="inlineStr">
        <is>
          <t>2026-01-15 11:37:00</t>
        </is>
      </c>
      <c r="E150" s="2" t="n">
        <v>2999</v>
      </c>
      <c r="F150" s="2" t="inlineStr">
        <is>
          <t>Netbanking</t>
        </is>
      </c>
      <c r="G150" s="2" t="inlineStr">
        <is>
          <t>captured</t>
        </is>
      </c>
      <c r="H150" s="2" t="n">
        <v>88</v>
      </c>
      <c r="I150" s="2">
        <f>IFERROR(VLOOKUP(C150,Merchants!$A$2:$D$41,2,FALSE),"Merchant not found")</f>
        <v/>
      </c>
      <c r="J150" s="2">
        <f>IFERROR(VLOOKUP(C150,Merchants!$A$2:$D$41,3,FALSE),"Merchant not found")</f>
        <v/>
      </c>
      <c r="K150" s="2">
        <f>IFERROR(VLOOKUP(C150,Merchants!$A$2:$D$41,4,FALSE),"Merchant not found")</f>
        <v/>
      </c>
      <c r="L150" s="2">
        <f>IFERROR(HLOOKUP(F150,Fee_Tiers!$B$4:$E$5,2,FALSE),0)</f>
        <v/>
      </c>
      <c r="M150" s="2">
        <f>IF(AND(E150&gt;500,K150&lt;&gt;"East"),"High-Value Merchant Day",IF(AND(E150&gt;500,K150="East"),"High-Value East (Excluded)",IF(E150&lt;=500,"Standard","Unknown")))</f>
        <v/>
      </c>
    </row>
    <row r="151">
      <c r="A151" s="2" t="inlineStr">
        <is>
          <t>TXN100149</t>
        </is>
      </c>
      <c r="B151" s="2" t="n">
        <v>155</v>
      </c>
      <c r="C151" s="2" t="n">
        <v>13</v>
      </c>
      <c r="D151" s="2" t="inlineStr">
        <is>
          <t>2026-01-09 14:54:00</t>
        </is>
      </c>
      <c r="E151" s="2" t="n">
        <v>149</v>
      </c>
      <c r="F151" s="2" t="inlineStr">
        <is>
          <t>UPI</t>
        </is>
      </c>
      <c r="G151" s="2" t="inlineStr">
        <is>
          <t>captured</t>
        </is>
      </c>
      <c r="H151" s="2" t="n">
        <v>49</v>
      </c>
      <c r="I151" s="2">
        <f>IFERROR(VLOOKUP(C151,Merchants!$A$2:$D$41,2,FALSE),"Merchant not found")</f>
        <v/>
      </c>
      <c r="J151" s="2">
        <f>IFERROR(VLOOKUP(C151,Merchants!$A$2:$D$41,3,FALSE),"Merchant not found")</f>
        <v/>
      </c>
      <c r="K151" s="2">
        <f>IFERROR(VLOOKUP(C151,Merchants!$A$2:$D$41,4,FALSE),"Merchant not found")</f>
        <v/>
      </c>
      <c r="L151" s="2">
        <f>IFERROR(HLOOKUP(F151,Fee_Tiers!$B$4:$E$5,2,FALSE),0)</f>
        <v/>
      </c>
      <c r="M151" s="2">
        <f>IF(AND(E151&gt;500,K151&lt;&gt;"East"),"High-Value Merchant Day",IF(AND(E151&gt;500,K151="East"),"High-Value East (Excluded)",IF(E151&lt;=500,"Standard","Unknown")))</f>
        <v/>
      </c>
    </row>
    <row r="152">
      <c r="A152" s="2" t="inlineStr">
        <is>
          <t>TXN100150</t>
        </is>
      </c>
      <c r="B152" s="2" t="n">
        <v>122</v>
      </c>
      <c r="C152" s="2" t="n">
        <v>25</v>
      </c>
      <c r="D152" s="2" t="inlineStr">
        <is>
          <t>2026-01-28 15:06:00</t>
        </is>
      </c>
      <c r="E152" s="2" t="n">
        <v>299</v>
      </c>
      <c r="F152" s="2" t="inlineStr">
        <is>
          <t>UPI</t>
        </is>
      </c>
      <c r="G152" s="2" t="inlineStr">
        <is>
          <t>captured</t>
        </is>
      </c>
      <c r="H152" s="2" t="n">
        <v>73</v>
      </c>
      <c r="I152" s="2">
        <f>IFERROR(VLOOKUP(C152,Merchants!$A$2:$D$41,2,FALSE),"Merchant not found")</f>
        <v/>
      </c>
      <c r="J152" s="2">
        <f>IFERROR(VLOOKUP(C152,Merchants!$A$2:$D$41,3,FALSE),"Merchant not found")</f>
        <v/>
      </c>
      <c r="K152" s="2">
        <f>IFERROR(VLOOKUP(C152,Merchants!$A$2:$D$41,4,FALSE),"Merchant not found")</f>
        <v/>
      </c>
      <c r="L152" s="2">
        <f>IFERROR(HLOOKUP(F152,Fee_Tiers!$B$4:$E$5,2,FALSE),0)</f>
        <v/>
      </c>
      <c r="M152" s="2">
        <f>IF(AND(E152&gt;500,K152&lt;&gt;"East"),"High-Value Merchant Day",IF(AND(E152&gt;500,K152="East"),"High-Value East (Excluded)",IF(E152&lt;=500,"Standard","Unknown")))</f>
        <v/>
      </c>
    </row>
    <row r="153">
      <c r="A153" s="2" t="inlineStr">
        <is>
          <t>TXN100151</t>
        </is>
      </c>
      <c r="B153" s="2" t="n">
        <v>152</v>
      </c>
      <c r="C153" s="2" t="n">
        <v>2</v>
      </c>
      <c r="D153" s="2" t="inlineStr">
        <is>
          <t>2026-01-12 18:18:00</t>
        </is>
      </c>
      <c r="E153" s="2" t="n">
        <v>49</v>
      </c>
      <c r="F153" s="2" t="inlineStr">
        <is>
          <t>UPI</t>
        </is>
      </c>
      <c r="G153" s="2" t="inlineStr">
        <is>
          <t>captured</t>
        </is>
      </c>
      <c r="H153" s="2" t="n">
        <v>84</v>
      </c>
      <c r="I153" s="2">
        <f>IFERROR(VLOOKUP(C153,Merchants!$A$2:$D$41,2,FALSE),"Merchant not found")</f>
        <v/>
      </c>
      <c r="J153" s="2">
        <f>IFERROR(VLOOKUP(C153,Merchants!$A$2:$D$41,3,FALSE),"Merchant not found")</f>
        <v/>
      </c>
      <c r="K153" s="2">
        <f>IFERROR(VLOOKUP(C153,Merchants!$A$2:$D$41,4,FALSE),"Merchant not found")</f>
        <v/>
      </c>
      <c r="L153" s="2">
        <f>IFERROR(HLOOKUP(F153,Fee_Tiers!$B$4:$E$5,2,FALSE),0)</f>
        <v/>
      </c>
      <c r="M153" s="2">
        <f>IF(AND(E153&gt;500,K153&lt;&gt;"East"),"High-Value Merchant Day",IF(AND(E153&gt;500,K153="East"),"High-Value East (Excluded)",IF(E153&lt;=500,"Standard","Unknown")))</f>
        <v/>
      </c>
    </row>
    <row r="154">
      <c r="A154" s="2" t="inlineStr">
        <is>
          <t>TXN100152</t>
        </is>
      </c>
      <c r="B154" s="2" t="n">
        <v>290</v>
      </c>
      <c r="C154" s="2" t="n">
        <v>4</v>
      </c>
      <c r="D154" s="2" t="inlineStr">
        <is>
          <t>2026-01-13 08:00:00</t>
        </is>
      </c>
      <c r="E154" s="2" t="n">
        <v>149</v>
      </c>
      <c r="F154" s="2" t="inlineStr">
        <is>
          <t>UPI</t>
        </is>
      </c>
      <c r="G154" s="2" t="inlineStr">
        <is>
          <t>captured</t>
        </is>
      </c>
      <c r="H154" s="2" t="n">
        <v>77</v>
      </c>
      <c r="I154" s="2">
        <f>IFERROR(VLOOKUP(C154,Merchants!$A$2:$D$41,2,FALSE),"Merchant not found")</f>
        <v/>
      </c>
      <c r="J154" s="2">
        <f>IFERROR(VLOOKUP(C154,Merchants!$A$2:$D$41,3,FALSE),"Merchant not found")</f>
        <v/>
      </c>
      <c r="K154" s="2">
        <f>IFERROR(VLOOKUP(C154,Merchants!$A$2:$D$41,4,FALSE),"Merchant not found")</f>
        <v/>
      </c>
      <c r="L154" s="2">
        <f>IFERROR(HLOOKUP(F154,Fee_Tiers!$B$4:$E$5,2,FALSE),0)</f>
        <v/>
      </c>
      <c r="M154" s="2">
        <f>IF(AND(E154&gt;500,K154&lt;&gt;"East"),"High-Value Merchant Day",IF(AND(E154&gt;500,K154="East"),"High-Value East (Excluded)",IF(E154&lt;=500,"Standard","Unknown")))</f>
        <v/>
      </c>
    </row>
    <row r="155">
      <c r="A155" s="2" t="inlineStr">
        <is>
          <t>TXN100153</t>
        </is>
      </c>
      <c r="B155" s="2" t="n">
        <v>147</v>
      </c>
      <c r="C155" s="2" t="n">
        <v>15</v>
      </c>
      <c r="D155" s="2" t="inlineStr">
        <is>
          <t>2026-01-24 15:53:00</t>
        </is>
      </c>
      <c r="E155" s="2" t="n">
        <v>49</v>
      </c>
      <c r="F155" s="2" t="inlineStr">
        <is>
          <t>Wallet</t>
        </is>
      </c>
      <c r="G155" s="2" t="inlineStr">
        <is>
          <t>captured</t>
        </is>
      </c>
      <c r="H155" s="2" t="n">
        <v>77</v>
      </c>
      <c r="I155" s="2">
        <f>IFERROR(VLOOKUP(C155,Merchants!$A$2:$D$41,2,FALSE),"Merchant not found")</f>
        <v/>
      </c>
      <c r="J155" s="2">
        <f>IFERROR(VLOOKUP(C155,Merchants!$A$2:$D$41,3,FALSE),"Merchant not found")</f>
        <v/>
      </c>
      <c r="K155" s="2">
        <f>IFERROR(VLOOKUP(C155,Merchants!$A$2:$D$41,4,FALSE),"Merchant not found")</f>
        <v/>
      </c>
      <c r="L155" s="2">
        <f>IFERROR(HLOOKUP(F155,Fee_Tiers!$B$4:$E$5,2,FALSE),0)</f>
        <v/>
      </c>
      <c r="M155" s="2">
        <f>IF(AND(E155&gt;500,K155&lt;&gt;"East"),"High-Value Merchant Day",IF(AND(E155&gt;500,K155="East"),"High-Value East (Excluded)",IF(E155&lt;=500,"Standard","Unknown")))</f>
        <v/>
      </c>
    </row>
    <row r="156">
      <c r="A156" s="2" t="inlineStr">
        <is>
          <t>TXN100154</t>
        </is>
      </c>
      <c r="B156" s="2" t="n">
        <v>326</v>
      </c>
      <c r="C156" s="2" t="n">
        <v>13</v>
      </c>
      <c r="D156" s="2" t="inlineStr">
        <is>
          <t>2026-01-26 11:14:00</t>
        </is>
      </c>
      <c r="E156" s="2" t="n">
        <v>299</v>
      </c>
      <c r="F156" s="2" t="inlineStr">
        <is>
          <t>Netbanking</t>
        </is>
      </c>
      <c r="G156" s="2" t="inlineStr">
        <is>
          <t>captured</t>
        </is>
      </c>
      <c r="H156" s="2" t="n">
        <v>79</v>
      </c>
      <c r="I156" s="2">
        <f>IFERROR(VLOOKUP(C156,Merchants!$A$2:$D$41,2,FALSE),"Merchant not found")</f>
        <v/>
      </c>
      <c r="J156" s="2">
        <f>IFERROR(VLOOKUP(C156,Merchants!$A$2:$D$41,3,FALSE),"Merchant not found")</f>
        <v/>
      </c>
      <c r="K156" s="2">
        <f>IFERROR(VLOOKUP(C156,Merchants!$A$2:$D$41,4,FALSE),"Merchant not found")</f>
        <v/>
      </c>
      <c r="L156" s="2">
        <f>IFERROR(HLOOKUP(F156,Fee_Tiers!$B$4:$E$5,2,FALSE),0)</f>
        <v/>
      </c>
      <c r="M156" s="2">
        <f>IF(AND(E156&gt;500,K156&lt;&gt;"East"),"High-Value Merchant Day",IF(AND(E156&gt;500,K156="East"),"High-Value East (Excluded)",IF(E156&lt;=500,"Standard","Unknown")))</f>
        <v/>
      </c>
    </row>
    <row r="157">
      <c r="A157" s="2" t="inlineStr">
        <is>
          <t>TXN100155</t>
        </is>
      </c>
      <c r="B157" s="2" t="n">
        <v>338</v>
      </c>
      <c r="C157" s="2" t="n">
        <v>9</v>
      </c>
      <c r="D157" s="2" t="inlineStr">
        <is>
          <t>2026-01-09 21:48:00</t>
        </is>
      </c>
      <c r="E157" s="2" t="n">
        <v>99</v>
      </c>
      <c r="F157" s="2" t="inlineStr">
        <is>
          <t>Card</t>
        </is>
      </c>
      <c r="G157" s="2" t="inlineStr">
        <is>
          <t>captured</t>
        </is>
      </c>
      <c r="H157" s="2" t="n">
        <v>80</v>
      </c>
      <c r="I157" s="2">
        <f>IFERROR(VLOOKUP(C157,Merchants!$A$2:$D$41,2,FALSE),"Merchant not found")</f>
        <v/>
      </c>
      <c r="J157" s="2">
        <f>IFERROR(VLOOKUP(C157,Merchants!$A$2:$D$41,3,FALSE),"Merchant not found")</f>
        <v/>
      </c>
      <c r="K157" s="2">
        <f>IFERROR(VLOOKUP(C157,Merchants!$A$2:$D$41,4,FALSE),"Merchant not found")</f>
        <v/>
      </c>
      <c r="L157" s="2">
        <f>IFERROR(HLOOKUP(F157,Fee_Tiers!$B$4:$E$5,2,FALSE),0)</f>
        <v/>
      </c>
      <c r="M157" s="2">
        <f>IF(AND(E157&gt;500,K157&lt;&gt;"East"),"High-Value Merchant Day",IF(AND(E157&gt;500,K157="East"),"High-Value East (Excluded)",IF(E157&lt;=500,"Standard","Unknown")))</f>
        <v/>
      </c>
    </row>
    <row r="158">
      <c r="A158" s="2" t="inlineStr">
        <is>
          <t>TXN100156</t>
        </is>
      </c>
      <c r="B158" s="2" t="n">
        <v>21</v>
      </c>
      <c r="C158" s="2" t="n">
        <v>20</v>
      </c>
      <c r="D158" s="2" t="inlineStr">
        <is>
          <t>2026-01-04 20:41:00</t>
        </is>
      </c>
      <c r="E158" s="2" t="n">
        <v>2999</v>
      </c>
      <c r="F158" s="2" t="inlineStr">
        <is>
          <t>UPI</t>
        </is>
      </c>
      <c r="G158" s="2" t="inlineStr">
        <is>
          <t>captured</t>
        </is>
      </c>
      <c r="H158" s="2" t="n">
        <v>100</v>
      </c>
      <c r="I158" s="2">
        <f>IFERROR(VLOOKUP(C158,Merchants!$A$2:$D$41,2,FALSE),"Merchant not found")</f>
        <v/>
      </c>
      <c r="J158" s="2">
        <f>IFERROR(VLOOKUP(C158,Merchants!$A$2:$D$41,3,FALSE),"Merchant not found")</f>
        <v/>
      </c>
      <c r="K158" s="2">
        <f>IFERROR(VLOOKUP(C158,Merchants!$A$2:$D$41,4,FALSE),"Merchant not found")</f>
        <v/>
      </c>
      <c r="L158" s="2">
        <f>IFERROR(HLOOKUP(F158,Fee_Tiers!$B$4:$E$5,2,FALSE),0)</f>
        <v/>
      </c>
      <c r="M158" s="2">
        <f>IF(AND(E158&gt;500,K158&lt;&gt;"East"),"High-Value Merchant Day",IF(AND(E158&gt;500,K158="East"),"High-Value East (Excluded)",IF(E158&lt;=500,"Standard","Unknown")))</f>
        <v/>
      </c>
    </row>
    <row r="159">
      <c r="A159" s="2" t="inlineStr">
        <is>
          <t>TXN100157</t>
        </is>
      </c>
      <c r="B159" s="2" t="n">
        <v>187</v>
      </c>
      <c r="C159" s="2" t="n">
        <v>9</v>
      </c>
      <c r="D159" s="2" t="inlineStr">
        <is>
          <t>2026-01-15 01:37:00</t>
        </is>
      </c>
      <c r="E159" s="2" t="n">
        <v>49</v>
      </c>
      <c r="F159" s="2" t="inlineStr">
        <is>
          <t>Card</t>
        </is>
      </c>
      <c r="G159" s="2" t="inlineStr">
        <is>
          <t>failed</t>
        </is>
      </c>
      <c r="H159" s="2" t="n">
        <v>11</v>
      </c>
      <c r="I159" s="2">
        <f>IFERROR(VLOOKUP(C159,Merchants!$A$2:$D$41,2,FALSE),"Merchant not found")</f>
        <v/>
      </c>
      <c r="J159" s="2">
        <f>IFERROR(VLOOKUP(C159,Merchants!$A$2:$D$41,3,FALSE),"Merchant not found")</f>
        <v/>
      </c>
      <c r="K159" s="2">
        <f>IFERROR(VLOOKUP(C159,Merchants!$A$2:$D$41,4,FALSE),"Merchant not found")</f>
        <v/>
      </c>
      <c r="L159" s="2">
        <f>IFERROR(HLOOKUP(F159,Fee_Tiers!$B$4:$E$5,2,FALSE),0)</f>
        <v/>
      </c>
      <c r="M159" s="2">
        <f>IF(AND(E159&gt;500,K159&lt;&gt;"East"),"High-Value Merchant Day",IF(AND(E159&gt;500,K159="East"),"High-Value East (Excluded)",IF(E159&lt;=500,"Standard","Unknown")))</f>
        <v/>
      </c>
    </row>
    <row r="160">
      <c r="A160" s="2" t="inlineStr">
        <is>
          <t>TXN100158</t>
        </is>
      </c>
      <c r="B160" s="2" t="n">
        <v>213</v>
      </c>
      <c r="C160" s="2" t="n">
        <v>12</v>
      </c>
      <c r="D160" s="2" t="inlineStr">
        <is>
          <t>2026-01-30 09:20:00</t>
        </is>
      </c>
      <c r="E160" s="2" t="n">
        <v>4999</v>
      </c>
      <c r="F160" s="2" t="inlineStr">
        <is>
          <t>UPI</t>
        </is>
      </c>
      <c r="G160" s="2" t="inlineStr">
        <is>
          <t>captured</t>
        </is>
      </c>
      <c r="H160" s="2" t="n">
        <v>25</v>
      </c>
      <c r="I160" s="2">
        <f>IFERROR(VLOOKUP(C160,Merchants!$A$2:$D$41,2,FALSE),"Merchant not found")</f>
        <v/>
      </c>
      <c r="J160" s="2">
        <f>IFERROR(VLOOKUP(C160,Merchants!$A$2:$D$41,3,FALSE),"Merchant not found")</f>
        <v/>
      </c>
      <c r="K160" s="2">
        <f>IFERROR(VLOOKUP(C160,Merchants!$A$2:$D$41,4,FALSE),"Merchant not found")</f>
        <v/>
      </c>
      <c r="L160" s="2">
        <f>IFERROR(HLOOKUP(F160,Fee_Tiers!$B$4:$E$5,2,FALSE),0)</f>
        <v/>
      </c>
      <c r="M160" s="2">
        <f>IF(AND(E160&gt;500,K160&lt;&gt;"East"),"High-Value Merchant Day",IF(AND(E160&gt;500,K160="East"),"High-Value East (Excluded)",IF(E160&lt;=500,"Standard","Unknown")))</f>
        <v/>
      </c>
    </row>
    <row r="161">
      <c r="A161" s="2" t="inlineStr">
        <is>
          <t>TXN100159</t>
        </is>
      </c>
      <c r="B161" s="2" t="n">
        <v>188</v>
      </c>
      <c r="C161" s="2" t="n">
        <v>34</v>
      </c>
      <c r="D161" s="2" t="inlineStr">
        <is>
          <t>2026-01-05 17:56:00</t>
        </is>
      </c>
      <c r="E161" s="2" t="n">
        <v>2999</v>
      </c>
      <c r="F161" s="2" t="inlineStr">
        <is>
          <t>UPI</t>
        </is>
      </c>
      <c r="G161" s="2" t="inlineStr">
        <is>
          <t>captured</t>
        </is>
      </c>
      <c r="H161" s="2" t="n">
        <v>64</v>
      </c>
      <c r="I161" s="2">
        <f>IFERROR(VLOOKUP(C161,Merchants!$A$2:$D$41,2,FALSE),"Merchant not found")</f>
        <v/>
      </c>
      <c r="J161" s="2">
        <f>IFERROR(VLOOKUP(C161,Merchants!$A$2:$D$41,3,FALSE),"Merchant not found")</f>
        <v/>
      </c>
      <c r="K161" s="2">
        <f>IFERROR(VLOOKUP(C161,Merchants!$A$2:$D$41,4,FALSE),"Merchant not found")</f>
        <v/>
      </c>
      <c r="L161" s="2">
        <f>IFERROR(HLOOKUP(F161,Fee_Tiers!$B$4:$E$5,2,FALSE),0)</f>
        <v/>
      </c>
      <c r="M161" s="2">
        <f>IF(AND(E161&gt;500,K161&lt;&gt;"East"),"High-Value Merchant Day",IF(AND(E161&gt;500,K161="East"),"High-Value East (Excluded)",IF(E161&lt;=500,"Standard","Unknown")))</f>
        <v/>
      </c>
    </row>
    <row r="162">
      <c r="A162" s="2" t="inlineStr">
        <is>
          <t>TXN100160</t>
        </is>
      </c>
      <c r="B162" s="2" t="n">
        <v>85</v>
      </c>
      <c r="C162" s="2" t="n">
        <v>17</v>
      </c>
      <c r="D162" s="2" t="inlineStr">
        <is>
          <t>2026-01-30 08:53:00</t>
        </is>
      </c>
      <c r="E162" s="2" t="n">
        <v>499</v>
      </c>
      <c r="F162" s="2" t="inlineStr">
        <is>
          <t>UPI</t>
        </is>
      </c>
      <c r="G162" s="2" t="inlineStr">
        <is>
          <t>captured</t>
        </is>
      </c>
      <c r="H162" s="2" t="n">
        <v>61</v>
      </c>
      <c r="I162" s="2">
        <f>IFERROR(VLOOKUP(C162,Merchants!$A$2:$D$41,2,FALSE),"Merchant not found")</f>
        <v/>
      </c>
      <c r="J162" s="2">
        <f>IFERROR(VLOOKUP(C162,Merchants!$A$2:$D$41,3,FALSE),"Merchant not found")</f>
        <v/>
      </c>
      <c r="K162" s="2">
        <f>IFERROR(VLOOKUP(C162,Merchants!$A$2:$D$41,4,FALSE),"Merchant not found")</f>
        <v/>
      </c>
      <c r="L162" s="2">
        <f>IFERROR(HLOOKUP(F162,Fee_Tiers!$B$4:$E$5,2,FALSE),0)</f>
        <v/>
      </c>
      <c r="M162" s="2">
        <f>IF(AND(E162&gt;500,K162&lt;&gt;"East"),"High-Value Merchant Day",IF(AND(E162&gt;500,K162="East"),"High-Value East (Excluded)",IF(E162&lt;=500,"Standard","Unknown")))</f>
        <v/>
      </c>
    </row>
    <row r="163">
      <c r="A163" s="2" t="inlineStr">
        <is>
          <t>TXN100161</t>
        </is>
      </c>
      <c r="B163" s="2" t="n">
        <v>174</v>
      </c>
      <c r="C163" s="2" t="n">
        <v>8</v>
      </c>
      <c r="D163" s="2" t="inlineStr">
        <is>
          <t>2026-01-26 09:47:00</t>
        </is>
      </c>
      <c r="E163" s="2" t="n">
        <v>299</v>
      </c>
      <c r="F163" s="2" t="inlineStr">
        <is>
          <t>Netbanking</t>
        </is>
      </c>
      <c r="G163" s="2" t="inlineStr">
        <is>
          <t>captured</t>
        </is>
      </c>
      <c r="H163" s="2" t="n">
        <v>59</v>
      </c>
      <c r="I163" s="2">
        <f>IFERROR(VLOOKUP(C163,Merchants!$A$2:$D$41,2,FALSE),"Merchant not found")</f>
        <v/>
      </c>
      <c r="J163" s="2">
        <f>IFERROR(VLOOKUP(C163,Merchants!$A$2:$D$41,3,FALSE),"Merchant not found")</f>
        <v/>
      </c>
      <c r="K163" s="2">
        <f>IFERROR(VLOOKUP(C163,Merchants!$A$2:$D$41,4,FALSE),"Merchant not found")</f>
        <v/>
      </c>
      <c r="L163" s="2">
        <f>IFERROR(HLOOKUP(F163,Fee_Tiers!$B$4:$E$5,2,FALSE),0)</f>
        <v/>
      </c>
      <c r="M163" s="2">
        <f>IF(AND(E163&gt;500,K163&lt;&gt;"East"),"High-Value Merchant Day",IF(AND(E163&gt;500,K163="East"),"High-Value East (Excluded)",IF(E163&lt;=500,"Standard","Unknown")))</f>
        <v/>
      </c>
    </row>
    <row r="164">
      <c r="A164" s="2" t="inlineStr">
        <is>
          <t>TXN100162</t>
        </is>
      </c>
      <c r="B164" s="2" t="n">
        <v>116</v>
      </c>
      <c r="C164" s="2" t="n">
        <v>26</v>
      </c>
      <c r="D164" s="2" t="inlineStr">
        <is>
          <t>2026-01-03 04:48:00</t>
        </is>
      </c>
      <c r="E164" s="2" t="n">
        <v>99</v>
      </c>
      <c r="F164" s="2" t="inlineStr">
        <is>
          <t>Netbanking</t>
        </is>
      </c>
      <c r="G164" s="2" t="inlineStr">
        <is>
          <t>captured</t>
        </is>
      </c>
      <c r="H164" s="2" t="n">
        <v>71</v>
      </c>
      <c r="I164" s="2">
        <f>IFERROR(VLOOKUP(C164,Merchants!$A$2:$D$41,2,FALSE),"Merchant not found")</f>
        <v/>
      </c>
      <c r="J164" s="2">
        <f>IFERROR(VLOOKUP(C164,Merchants!$A$2:$D$41,3,FALSE),"Merchant not found")</f>
        <v/>
      </c>
      <c r="K164" s="2">
        <f>IFERROR(VLOOKUP(C164,Merchants!$A$2:$D$41,4,FALSE),"Merchant not found")</f>
        <v/>
      </c>
      <c r="L164" s="2">
        <f>IFERROR(HLOOKUP(F164,Fee_Tiers!$B$4:$E$5,2,FALSE),0)</f>
        <v/>
      </c>
      <c r="M164" s="2">
        <f>IF(AND(E164&gt;500,K164&lt;&gt;"East"),"High-Value Merchant Day",IF(AND(E164&gt;500,K164="East"),"High-Value East (Excluded)",IF(E164&lt;=500,"Standard","Unknown")))</f>
        <v/>
      </c>
    </row>
    <row r="165">
      <c r="A165" s="2" t="inlineStr">
        <is>
          <t>TXN100163</t>
        </is>
      </c>
      <c r="B165" s="2" t="n">
        <v>203</v>
      </c>
      <c r="C165" s="2" t="n">
        <v>1</v>
      </c>
      <c r="D165" s="2" t="inlineStr">
        <is>
          <t>2026-01-12 02:50:00</t>
        </is>
      </c>
      <c r="E165" s="2" t="n">
        <v>149</v>
      </c>
      <c r="F165" s="2" t="inlineStr">
        <is>
          <t>Wallet</t>
        </is>
      </c>
      <c r="G165" s="2" t="inlineStr">
        <is>
          <t>captured</t>
        </is>
      </c>
      <c r="H165" s="2" t="n">
        <v>33</v>
      </c>
      <c r="I165" s="2">
        <f>IFERROR(VLOOKUP(C165,Merchants!$A$2:$D$41,2,FALSE),"Merchant not found")</f>
        <v/>
      </c>
      <c r="J165" s="2">
        <f>IFERROR(VLOOKUP(C165,Merchants!$A$2:$D$41,3,FALSE),"Merchant not found")</f>
        <v/>
      </c>
      <c r="K165" s="2">
        <f>IFERROR(VLOOKUP(C165,Merchants!$A$2:$D$41,4,FALSE),"Merchant not found")</f>
        <v/>
      </c>
      <c r="L165" s="2">
        <f>IFERROR(HLOOKUP(F165,Fee_Tiers!$B$4:$E$5,2,FALSE),0)</f>
        <v/>
      </c>
      <c r="M165" s="2">
        <f>IF(AND(E165&gt;500,K165&lt;&gt;"East"),"High-Value Merchant Day",IF(AND(E165&gt;500,K165="East"),"High-Value East (Excluded)",IF(E165&lt;=500,"Standard","Unknown")))</f>
        <v/>
      </c>
    </row>
    <row r="166">
      <c r="A166" s="2" t="inlineStr">
        <is>
          <t>TXN100164</t>
        </is>
      </c>
      <c r="B166" s="2" t="n">
        <v>189</v>
      </c>
      <c r="C166" s="2" t="n">
        <v>17</v>
      </c>
      <c r="D166" s="2" t="inlineStr">
        <is>
          <t>2026-01-18 03:29:00</t>
        </is>
      </c>
      <c r="E166" s="2" t="n">
        <v>99</v>
      </c>
      <c r="F166" s="2" t="inlineStr">
        <is>
          <t>UPI</t>
        </is>
      </c>
      <c r="G166" s="2" t="inlineStr">
        <is>
          <t>captured</t>
        </is>
      </c>
      <c r="H166" s="2" t="n">
        <v>74</v>
      </c>
      <c r="I166" s="2">
        <f>IFERROR(VLOOKUP(C166,Merchants!$A$2:$D$41,2,FALSE),"Merchant not found")</f>
        <v/>
      </c>
      <c r="J166" s="2">
        <f>IFERROR(VLOOKUP(C166,Merchants!$A$2:$D$41,3,FALSE),"Merchant not found")</f>
        <v/>
      </c>
      <c r="K166" s="2">
        <f>IFERROR(VLOOKUP(C166,Merchants!$A$2:$D$41,4,FALSE),"Merchant not found")</f>
        <v/>
      </c>
      <c r="L166" s="2">
        <f>IFERROR(HLOOKUP(F166,Fee_Tiers!$B$4:$E$5,2,FALSE),0)</f>
        <v/>
      </c>
      <c r="M166" s="2">
        <f>IF(AND(E166&gt;500,K166&lt;&gt;"East"),"High-Value Merchant Day",IF(AND(E166&gt;500,K166="East"),"High-Value East (Excluded)",IF(E166&lt;=500,"Standard","Unknown")))</f>
        <v/>
      </c>
    </row>
    <row r="167">
      <c r="A167" s="2" t="inlineStr">
        <is>
          <t>TXN100165</t>
        </is>
      </c>
      <c r="B167" s="2" t="n">
        <v>56</v>
      </c>
      <c r="C167" s="2" t="n">
        <v>15</v>
      </c>
      <c r="D167" s="2" t="inlineStr">
        <is>
          <t>2026-01-13 20:23:00</t>
        </is>
      </c>
      <c r="E167" s="2" t="n">
        <v>299</v>
      </c>
      <c r="F167" s="2" t="inlineStr">
        <is>
          <t>UPI</t>
        </is>
      </c>
      <c r="G167" s="2" t="inlineStr">
        <is>
          <t>captured</t>
        </is>
      </c>
      <c r="H167" s="2" t="n">
        <v>60</v>
      </c>
      <c r="I167" s="2">
        <f>IFERROR(VLOOKUP(C167,Merchants!$A$2:$D$41,2,FALSE),"Merchant not found")</f>
        <v/>
      </c>
      <c r="J167" s="2">
        <f>IFERROR(VLOOKUP(C167,Merchants!$A$2:$D$41,3,FALSE),"Merchant not found")</f>
        <v/>
      </c>
      <c r="K167" s="2">
        <f>IFERROR(VLOOKUP(C167,Merchants!$A$2:$D$41,4,FALSE),"Merchant not found")</f>
        <v/>
      </c>
      <c r="L167" s="2">
        <f>IFERROR(HLOOKUP(F167,Fee_Tiers!$B$4:$E$5,2,FALSE),0)</f>
        <v/>
      </c>
      <c r="M167" s="2">
        <f>IF(AND(E167&gt;500,K167&lt;&gt;"East"),"High-Value Merchant Day",IF(AND(E167&gt;500,K167="East"),"High-Value East (Excluded)",IF(E167&lt;=500,"Standard","Unknown")))</f>
        <v/>
      </c>
    </row>
    <row r="168">
      <c r="A168" s="2" t="inlineStr">
        <is>
          <t>TXN100166</t>
        </is>
      </c>
      <c r="B168" s="2" t="n">
        <v>288</v>
      </c>
      <c r="C168" s="2" t="n">
        <v>21</v>
      </c>
      <c r="D168" s="2" t="inlineStr">
        <is>
          <t>2026-01-01 19:56:00</t>
        </is>
      </c>
      <c r="E168" s="2" t="n">
        <v>4999</v>
      </c>
      <c r="F168" s="2" t="inlineStr">
        <is>
          <t>Wallet</t>
        </is>
      </c>
      <c r="G168" s="2" t="inlineStr">
        <is>
          <t>failed</t>
        </is>
      </c>
      <c r="H168" s="2" t="n">
        <v>78</v>
      </c>
      <c r="I168" s="2">
        <f>IFERROR(VLOOKUP(C168,Merchants!$A$2:$D$41,2,FALSE),"Merchant not found")</f>
        <v/>
      </c>
      <c r="J168" s="2">
        <f>IFERROR(VLOOKUP(C168,Merchants!$A$2:$D$41,3,FALSE),"Merchant not found")</f>
        <v/>
      </c>
      <c r="K168" s="2">
        <f>IFERROR(VLOOKUP(C168,Merchants!$A$2:$D$41,4,FALSE),"Merchant not found")</f>
        <v/>
      </c>
      <c r="L168" s="2">
        <f>IFERROR(HLOOKUP(F168,Fee_Tiers!$B$4:$E$5,2,FALSE),0)</f>
        <v/>
      </c>
      <c r="M168" s="2">
        <f>IF(AND(E168&gt;500,K168&lt;&gt;"East"),"High-Value Merchant Day",IF(AND(E168&gt;500,K168="East"),"High-Value East (Excluded)",IF(E168&lt;=500,"Standard","Unknown")))</f>
        <v/>
      </c>
    </row>
    <row r="169">
      <c r="A169" s="2" t="inlineStr">
        <is>
          <t>TXN100167</t>
        </is>
      </c>
      <c r="B169" s="2" t="n">
        <v>326</v>
      </c>
      <c r="C169" s="2" t="n">
        <v>30</v>
      </c>
      <c r="D169" s="2" t="inlineStr">
        <is>
          <t>2026-01-08 20:04:00</t>
        </is>
      </c>
      <c r="E169" s="2" t="n">
        <v>99</v>
      </c>
      <c r="F169" s="2" t="inlineStr">
        <is>
          <t>Card</t>
        </is>
      </c>
      <c r="G169" s="2" t="inlineStr">
        <is>
          <t>captured</t>
        </is>
      </c>
      <c r="H169" s="2" t="n">
        <v>89</v>
      </c>
      <c r="I169" s="2">
        <f>IFERROR(VLOOKUP(C169,Merchants!$A$2:$D$41,2,FALSE),"Merchant not found")</f>
        <v/>
      </c>
      <c r="J169" s="2">
        <f>IFERROR(VLOOKUP(C169,Merchants!$A$2:$D$41,3,FALSE),"Merchant not found")</f>
        <v/>
      </c>
      <c r="K169" s="2">
        <f>IFERROR(VLOOKUP(C169,Merchants!$A$2:$D$41,4,FALSE),"Merchant not found")</f>
        <v/>
      </c>
      <c r="L169" s="2">
        <f>IFERROR(HLOOKUP(F169,Fee_Tiers!$B$4:$E$5,2,FALSE),0)</f>
        <v/>
      </c>
      <c r="M169" s="2">
        <f>IF(AND(E169&gt;500,K169&lt;&gt;"East"),"High-Value Merchant Day",IF(AND(E169&gt;500,K169="East"),"High-Value East (Excluded)",IF(E169&lt;=500,"Standard","Unknown")))</f>
        <v/>
      </c>
    </row>
    <row r="170">
      <c r="A170" s="2" t="inlineStr">
        <is>
          <t>TXN100168</t>
        </is>
      </c>
      <c r="B170" s="2" t="n">
        <v>60</v>
      </c>
      <c r="C170" s="2" t="n">
        <v>9</v>
      </c>
      <c r="D170" s="2" t="inlineStr">
        <is>
          <t>2026-01-10 20:26:00</t>
        </is>
      </c>
      <c r="E170" s="2" t="n">
        <v>49</v>
      </c>
      <c r="F170" s="2" t="inlineStr">
        <is>
          <t>Netbanking</t>
        </is>
      </c>
      <c r="G170" s="2" t="inlineStr">
        <is>
          <t>captured</t>
        </is>
      </c>
      <c r="H170" s="2" t="n">
        <v>5</v>
      </c>
      <c r="I170" s="2">
        <f>IFERROR(VLOOKUP(C170,Merchants!$A$2:$D$41,2,FALSE),"Merchant not found")</f>
        <v/>
      </c>
      <c r="J170" s="2">
        <f>IFERROR(VLOOKUP(C170,Merchants!$A$2:$D$41,3,FALSE),"Merchant not found")</f>
        <v/>
      </c>
      <c r="K170" s="2">
        <f>IFERROR(VLOOKUP(C170,Merchants!$A$2:$D$41,4,FALSE),"Merchant not found")</f>
        <v/>
      </c>
      <c r="L170" s="2">
        <f>IFERROR(HLOOKUP(F170,Fee_Tiers!$B$4:$E$5,2,FALSE),0)</f>
        <v/>
      </c>
      <c r="M170" s="2">
        <f>IF(AND(E170&gt;500,K170&lt;&gt;"East"),"High-Value Merchant Day",IF(AND(E170&gt;500,K170="East"),"High-Value East (Excluded)",IF(E170&lt;=500,"Standard","Unknown")))</f>
        <v/>
      </c>
    </row>
    <row r="171">
      <c r="A171" s="2" t="inlineStr">
        <is>
          <t>TXN100169</t>
        </is>
      </c>
      <c r="B171" s="2" t="n">
        <v>60</v>
      </c>
      <c r="C171" s="2" t="n">
        <v>7</v>
      </c>
      <c r="D171" s="2" t="inlineStr">
        <is>
          <t>2026-01-02 09:31:00</t>
        </is>
      </c>
      <c r="E171" s="2" t="n">
        <v>2999</v>
      </c>
      <c r="F171" s="2" t="inlineStr">
        <is>
          <t>Wallet</t>
        </is>
      </c>
      <c r="G171" s="2" t="inlineStr">
        <is>
          <t>captured</t>
        </is>
      </c>
      <c r="H171" s="2" t="n">
        <v>30</v>
      </c>
      <c r="I171" s="2">
        <f>IFERROR(VLOOKUP(C171,Merchants!$A$2:$D$41,2,FALSE),"Merchant not found")</f>
        <v/>
      </c>
      <c r="J171" s="2">
        <f>IFERROR(VLOOKUP(C171,Merchants!$A$2:$D$41,3,FALSE),"Merchant not found")</f>
        <v/>
      </c>
      <c r="K171" s="2">
        <f>IFERROR(VLOOKUP(C171,Merchants!$A$2:$D$41,4,FALSE),"Merchant not found")</f>
        <v/>
      </c>
      <c r="L171" s="2">
        <f>IFERROR(HLOOKUP(F171,Fee_Tiers!$B$4:$E$5,2,FALSE),0)</f>
        <v/>
      </c>
      <c r="M171" s="2">
        <f>IF(AND(E171&gt;500,K171&lt;&gt;"East"),"High-Value Merchant Day",IF(AND(E171&gt;500,K171="East"),"High-Value East (Excluded)",IF(E171&lt;=500,"Standard","Unknown")))</f>
        <v/>
      </c>
    </row>
    <row r="172">
      <c r="A172" s="2" t="inlineStr">
        <is>
          <t>TXN100170</t>
        </is>
      </c>
      <c r="B172" s="2" t="n">
        <v>199</v>
      </c>
      <c r="C172" s="2" t="n">
        <v>30</v>
      </c>
      <c r="D172" s="2" t="inlineStr">
        <is>
          <t>2026-01-29 17:08:00</t>
        </is>
      </c>
      <c r="E172" s="2" t="n">
        <v>149</v>
      </c>
      <c r="F172" s="2" t="inlineStr">
        <is>
          <t>Netbanking</t>
        </is>
      </c>
      <c r="G172" s="2" t="inlineStr">
        <is>
          <t>captured</t>
        </is>
      </c>
      <c r="H172" s="2" t="n">
        <v>47</v>
      </c>
      <c r="I172" s="2">
        <f>IFERROR(VLOOKUP(C172,Merchants!$A$2:$D$41,2,FALSE),"Merchant not found")</f>
        <v/>
      </c>
      <c r="J172" s="2">
        <f>IFERROR(VLOOKUP(C172,Merchants!$A$2:$D$41,3,FALSE),"Merchant not found")</f>
        <v/>
      </c>
      <c r="K172" s="2">
        <f>IFERROR(VLOOKUP(C172,Merchants!$A$2:$D$41,4,FALSE),"Merchant not found")</f>
        <v/>
      </c>
      <c r="L172" s="2">
        <f>IFERROR(HLOOKUP(F172,Fee_Tiers!$B$4:$E$5,2,FALSE),0)</f>
        <v/>
      </c>
      <c r="M172" s="2">
        <f>IF(AND(E172&gt;500,K172&lt;&gt;"East"),"High-Value Merchant Day",IF(AND(E172&gt;500,K172="East"),"High-Value East (Excluded)",IF(E172&lt;=500,"Standard","Unknown")))</f>
        <v/>
      </c>
    </row>
    <row r="173">
      <c r="A173" s="2" t="inlineStr">
        <is>
          <t>TXN100171</t>
        </is>
      </c>
      <c r="B173" s="2" t="n">
        <v>277</v>
      </c>
      <c r="C173" s="2" t="n">
        <v>27</v>
      </c>
      <c r="D173" s="2" t="inlineStr">
        <is>
          <t>2026-01-22 23:44:00</t>
        </is>
      </c>
      <c r="E173" s="2" t="n">
        <v>49</v>
      </c>
      <c r="F173" s="2" t="inlineStr">
        <is>
          <t>UPI</t>
        </is>
      </c>
      <c r="G173" s="2" t="inlineStr">
        <is>
          <t>captured</t>
        </is>
      </c>
      <c r="H173" s="2" t="n">
        <v>75</v>
      </c>
      <c r="I173" s="2">
        <f>IFERROR(VLOOKUP(C173,Merchants!$A$2:$D$41,2,FALSE),"Merchant not found")</f>
        <v/>
      </c>
      <c r="J173" s="2">
        <f>IFERROR(VLOOKUP(C173,Merchants!$A$2:$D$41,3,FALSE),"Merchant not found")</f>
        <v/>
      </c>
      <c r="K173" s="2">
        <f>IFERROR(VLOOKUP(C173,Merchants!$A$2:$D$41,4,FALSE),"Merchant not found")</f>
        <v/>
      </c>
      <c r="L173" s="2">
        <f>IFERROR(HLOOKUP(F173,Fee_Tiers!$B$4:$E$5,2,FALSE),0)</f>
        <v/>
      </c>
      <c r="M173" s="2">
        <f>IF(AND(E173&gt;500,K173&lt;&gt;"East"),"High-Value Merchant Day",IF(AND(E173&gt;500,K173="East"),"High-Value East (Excluded)",IF(E173&lt;=500,"Standard","Unknown")))</f>
        <v/>
      </c>
    </row>
    <row r="174">
      <c r="A174" s="2" t="inlineStr">
        <is>
          <t>TXN100172</t>
        </is>
      </c>
      <c r="B174" s="2" t="n">
        <v>213</v>
      </c>
      <c r="C174" s="2" t="n">
        <v>7</v>
      </c>
      <c r="D174" s="2" t="inlineStr">
        <is>
          <t>2026-01-24 23:09:00</t>
        </is>
      </c>
      <c r="E174" s="2" t="n">
        <v>799</v>
      </c>
      <c r="F174" s="2" t="inlineStr">
        <is>
          <t>Netbanking</t>
        </is>
      </c>
      <c r="G174" s="2" t="inlineStr">
        <is>
          <t>captured</t>
        </is>
      </c>
      <c r="H174" s="2" t="n">
        <v>62</v>
      </c>
      <c r="I174" s="2">
        <f>IFERROR(VLOOKUP(C174,Merchants!$A$2:$D$41,2,FALSE),"Merchant not found")</f>
        <v/>
      </c>
      <c r="J174" s="2">
        <f>IFERROR(VLOOKUP(C174,Merchants!$A$2:$D$41,3,FALSE),"Merchant not found")</f>
        <v/>
      </c>
      <c r="K174" s="2">
        <f>IFERROR(VLOOKUP(C174,Merchants!$A$2:$D$41,4,FALSE),"Merchant not found")</f>
        <v/>
      </c>
      <c r="L174" s="2">
        <f>IFERROR(HLOOKUP(F174,Fee_Tiers!$B$4:$E$5,2,FALSE),0)</f>
        <v/>
      </c>
      <c r="M174" s="2">
        <f>IF(AND(E174&gt;500,K174&lt;&gt;"East"),"High-Value Merchant Day",IF(AND(E174&gt;500,K174="East"),"High-Value East (Excluded)",IF(E174&lt;=500,"Standard","Unknown")))</f>
        <v/>
      </c>
    </row>
    <row r="175">
      <c r="A175" s="2" t="inlineStr">
        <is>
          <t>TXN100173</t>
        </is>
      </c>
      <c r="B175" s="2" t="n">
        <v>17</v>
      </c>
      <c r="C175" s="2" t="n">
        <v>24</v>
      </c>
      <c r="D175" s="2" t="inlineStr">
        <is>
          <t>2026-01-20 13:17:00</t>
        </is>
      </c>
      <c r="E175" s="2" t="n">
        <v>299</v>
      </c>
      <c r="F175" s="2" t="inlineStr">
        <is>
          <t>UPI</t>
        </is>
      </c>
      <c r="G175" s="2" t="inlineStr">
        <is>
          <t>captured</t>
        </is>
      </c>
      <c r="H175" s="2" t="n">
        <v>27</v>
      </c>
      <c r="I175" s="2">
        <f>IFERROR(VLOOKUP(C175,Merchants!$A$2:$D$41,2,FALSE),"Merchant not found")</f>
        <v/>
      </c>
      <c r="J175" s="2">
        <f>IFERROR(VLOOKUP(C175,Merchants!$A$2:$D$41,3,FALSE),"Merchant not found")</f>
        <v/>
      </c>
      <c r="K175" s="2">
        <f>IFERROR(VLOOKUP(C175,Merchants!$A$2:$D$41,4,FALSE),"Merchant not found")</f>
        <v/>
      </c>
      <c r="L175" s="2">
        <f>IFERROR(HLOOKUP(F175,Fee_Tiers!$B$4:$E$5,2,FALSE),0)</f>
        <v/>
      </c>
      <c r="M175" s="2">
        <f>IF(AND(E175&gt;500,K175&lt;&gt;"East"),"High-Value Merchant Day",IF(AND(E175&gt;500,K175="East"),"High-Value East (Excluded)",IF(E175&lt;=500,"Standard","Unknown")))</f>
        <v/>
      </c>
    </row>
    <row r="176">
      <c r="A176" s="2" t="inlineStr">
        <is>
          <t>TXN100174</t>
        </is>
      </c>
      <c r="B176" s="2" t="n">
        <v>186</v>
      </c>
      <c r="C176" s="2" t="n">
        <v>7</v>
      </c>
      <c r="D176" s="2" t="inlineStr">
        <is>
          <t>2026-01-15 14:15:00</t>
        </is>
      </c>
      <c r="E176" s="2" t="n">
        <v>1499</v>
      </c>
      <c r="F176" s="2" t="inlineStr">
        <is>
          <t>Card</t>
        </is>
      </c>
      <c r="G176" s="2" t="inlineStr">
        <is>
          <t>failed</t>
        </is>
      </c>
      <c r="H176" s="2" t="n">
        <v>87</v>
      </c>
      <c r="I176" s="2">
        <f>IFERROR(VLOOKUP(C176,Merchants!$A$2:$D$41,2,FALSE),"Merchant not found")</f>
        <v/>
      </c>
      <c r="J176" s="2">
        <f>IFERROR(VLOOKUP(C176,Merchants!$A$2:$D$41,3,FALSE),"Merchant not found")</f>
        <v/>
      </c>
      <c r="K176" s="2">
        <f>IFERROR(VLOOKUP(C176,Merchants!$A$2:$D$41,4,FALSE),"Merchant not found")</f>
        <v/>
      </c>
      <c r="L176" s="2">
        <f>IFERROR(HLOOKUP(F176,Fee_Tiers!$B$4:$E$5,2,FALSE),0)</f>
        <v/>
      </c>
      <c r="M176" s="2">
        <f>IF(AND(E176&gt;500,K176&lt;&gt;"East"),"High-Value Merchant Day",IF(AND(E176&gt;500,K176="East"),"High-Value East (Excluded)",IF(E176&lt;=500,"Standard","Unknown")))</f>
        <v/>
      </c>
    </row>
    <row r="177">
      <c r="A177" s="2" t="inlineStr">
        <is>
          <t>TXN100175</t>
        </is>
      </c>
      <c r="B177" s="2" t="n">
        <v>331</v>
      </c>
      <c r="C177" s="2" t="n">
        <v>23</v>
      </c>
      <c r="D177" s="2" t="inlineStr">
        <is>
          <t>2026-01-12 17:57:00</t>
        </is>
      </c>
      <c r="E177" s="2" t="n">
        <v>149</v>
      </c>
      <c r="F177" s="2" t="inlineStr">
        <is>
          <t>UPI</t>
        </is>
      </c>
      <c r="G177" s="2" t="inlineStr">
        <is>
          <t>captured</t>
        </is>
      </c>
      <c r="H177" s="2" t="n">
        <v>7</v>
      </c>
      <c r="I177" s="2">
        <f>IFERROR(VLOOKUP(C177,Merchants!$A$2:$D$41,2,FALSE),"Merchant not found")</f>
        <v/>
      </c>
      <c r="J177" s="2">
        <f>IFERROR(VLOOKUP(C177,Merchants!$A$2:$D$41,3,FALSE),"Merchant not found")</f>
        <v/>
      </c>
      <c r="K177" s="2">
        <f>IFERROR(VLOOKUP(C177,Merchants!$A$2:$D$41,4,FALSE),"Merchant not found")</f>
        <v/>
      </c>
      <c r="L177" s="2">
        <f>IFERROR(HLOOKUP(F177,Fee_Tiers!$B$4:$E$5,2,FALSE),0)</f>
        <v/>
      </c>
      <c r="M177" s="2">
        <f>IF(AND(E177&gt;500,K177&lt;&gt;"East"),"High-Value Merchant Day",IF(AND(E177&gt;500,K177="East"),"High-Value East (Excluded)",IF(E177&lt;=500,"Standard","Unknown")))</f>
        <v/>
      </c>
    </row>
    <row r="178">
      <c r="A178" s="2" t="inlineStr">
        <is>
          <t>TXN100176</t>
        </is>
      </c>
      <c r="B178" s="2" t="n">
        <v>63</v>
      </c>
      <c r="C178" s="2" t="n">
        <v>30</v>
      </c>
      <c r="D178" s="2" t="inlineStr">
        <is>
          <t>2026-01-13 08:12:00</t>
        </is>
      </c>
      <c r="E178" s="2" t="n">
        <v>1499</v>
      </c>
      <c r="F178" s="2" t="inlineStr">
        <is>
          <t>Card</t>
        </is>
      </c>
      <c r="G178" s="2" t="inlineStr">
        <is>
          <t>captured</t>
        </is>
      </c>
      <c r="H178" s="2" t="n">
        <v>11</v>
      </c>
      <c r="I178" s="2">
        <f>IFERROR(VLOOKUP(C178,Merchants!$A$2:$D$41,2,FALSE),"Merchant not found")</f>
        <v/>
      </c>
      <c r="J178" s="2">
        <f>IFERROR(VLOOKUP(C178,Merchants!$A$2:$D$41,3,FALSE),"Merchant not found")</f>
        <v/>
      </c>
      <c r="K178" s="2">
        <f>IFERROR(VLOOKUP(C178,Merchants!$A$2:$D$41,4,FALSE),"Merchant not found")</f>
        <v/>
      </c>
      <c r="L178" s="2">
        <f>IFERROR(HLOOKUP(F178,Fee_Tiers!$B$4:$E$5,2,FALSE),0)</f>
        <v/>
      </c>
      <c r="M178" s="2">
        <f>IF(AND(E178&gt;500,K178&lt;&gt;"East"),"High-Value Merchant Day",IF(AND(E178&gt;500,K178="East"),"High-Value East (Excluded)",IF(E178&lt;=500,"Standard","Unknown")))</f>
        <v/>
      </c>
    </row>
    <row r="179">
      <c r="A179" s="2" t="inlineStr">
        <is>
          <t>TXN100177</t>
        </is>
      </c>
      <c r="B179" s="2" t="n">
        <v>328</v>
      </c>
      <c r="C179" s="2" t="n">
        <v>39</v>
      </c>
      <c r="D179" s="2" t="inlineStr">
        <is>
          <t>2026-01-22 06:41:00</t>
        </is>
      </c>
      <c r="E179" s="2" t="n">
        <v>4999</v>
      </c>
      <c r="F179" s="2" t="inlineStr">
        <is>
          <t>Wallet</t>
        </is>
      </c>
      <c r="G179" s="2" t="inlineStr">
        <is>
          <t>chargeback</t>
        </is>
      </c>
      <c r="H179" s="2" t="n">
        <v>2</v>
      </c>
      <c r="I179" s="2">
        <f>IFERROR(VLOOKUP(C179,Merchants!$A$2:$D$41,2,FALSE),"Merchant not found")</f>
        <v/>
      </c>
      <c r="J179" s="2">
        <f>IFERROR(VLOOKUP(C179,Merchants!$A$2:$D$41,3,FALSE),"Merchant not found")</f>
        <v/>
      </c>
      <c r="K179" s="2">
        <f>IFERROR(VLOOKUP(C179,Merchants!$A$2:$D$41,4,FALSE),"Merchant not found")</f>
        <v/>
      </c>
      <c r="L179" s="2">
        <f>IFERROR(HLOOKUP(F179,Fee_Tiers!$B$4:$E$5,2,FALSE),0)</f>
        <v/>
      </c>
      <c r="M179" s="2">
        <f>IF(AND(E179&gt;500,K179&lt;&gt;"East"),"High-Value Merchant Day",IF(AND(E179&gt;500,K179="East"),"High-Value East (Excluded)",IF(E179&lt;=500,"Standard","Unknown")))</f>
        <v/>
      </c>
    </row>
    <row r="180">
      <c r="A180" s="2" t="inlineStr">
        <is>
          <t>TXN100178</t>
        </is>
      </c>
      <c r="B180" s="2" t="n">
        <v>65</v>
      </c>
      <c r="C180" s="2" t="n">
        <v>37</v>
      </c>
      <c r="D180" s="2" t="inlineStr">
        <is>
          <t>2026-01-02 10:15:00</t>
        </is>
      </c>
      <c r="E180" s="2" t="n">
        <v>2999</v>
      </c>
      <c r="F180" s="2" t="inlineStr">
        <is>
          <t>Card</t>
        </is>
      </c>
      <c r="G180" s="2" t="inlineStr">
        <is>
          <t>captured</t>
        </is>
      </c>
      <c r="H180" s="2" t="n">
        <v>26</v>
      </c>
      <c r="I180" s="2">
        <f>IFERROR(VLOOKUP(C180,Merchants!$A$2:$D$41,2,FALSE),"Merchant not found")</f>
        <v/>
      </c>
      <c r="J180" s="2">
        <f>IFERROR(VLOOKUP(C180,Merchants!$A$2:$D$41,3,FALSE),"Merchant not found")</f>
        <v/>
      </c>
      <c r="K180" s="2">
        <f>IFERROR(VLOOKUP(C180,Merchants!$A$2:$D$41,4,FALSE),"Merchant not found")</f>
        <v/>
      </c>
      <c r="L180" s="2">
        <f>IFERROR(HLOOKUP(F180,Fee_Tiers!$B$4:$E$5,2,FALSE),0)</f>
        <v/>
      </c>
      <c r="M180" s="2">
        <f>IF(AND(E180&gt;500,K180&lt;&gt;"East"),"High-Value Merchant Day",IF(AND(E180&gt;500,K180="East"),"High-Value East (Excluded)",IF(E180&lt;=500,"Standard","Unknown")))</f>
        <v/>
      </c>
    </row>
    <row r="181">
      <c r="A181" s="2" t="inlineStr">
        <is>
          <t>TXN100179</t>
        </is>
      </c>
      <c r="B181" s="2" t="n">
        <v>301</v>
      </c>
      <c r="C181" s="2" t="n">
        <v>14</v>
      </c>
      <c r="D181" s="2" t="inlineStr">
        <is>
          <t>2026-01-03 17:13:00</t>
        </is>
      </c>
      <c r="E181" s="2" t="n">
        <v>149</v>
      </c>
      <c r="F181" s="2" t="inlineStr">
        <is>
          <t>UPI</t>
        </is>
      </c>
      <c r="G181" s="2" t="inlineStr">
        <is>
          <t>captured</t>
        </is>
      </c>
      <c r="H181" s="2" t="n">
        <v>29</v>
      </c>
      <c r="I181" s="2">
        <f>IFERROR(VLOOKUP(C181,Merchants!$A$2:$D$41,2,FALSE),"Merchant not found")</f>
        <v/>
      </c>
      <c r="J181" s="2">
        <f>IFERROR(VLOOKUP(C181,Merchants!$A$2:$D$41,3,FALSE),"Merchant not found")</f>
        <v/>
      </c>
      <c r="K181" s="2">
        <f>IFERROR(VLOOKUP(C181,Merchants!$A$2:$D$41,4,FALSE),"Merchant not found")</f>
        <v/>
      </c>
      <c r="L181" s="2">
        <f>IFERROR(HLOOKUP(F181,Fee_Tiers!$B$4:$E$5,2,FALSE),0)</f>
        <v/>
      </c>
      <c r="M181" s="2">
        <f>IF(AND(E181&gt;500,K181&lt;&gt;"East"),"High-Value Merchant Day",IF(AND(E181&gt;500,K181="East"),"High-Value East (Excluded)",IF(E181&lt;=500,"Standard","Unknown")))</f>
        <v/>
      </c>
    </row>
    <row r="182">
      <c r="A182" s="2" t="inlineStr">
        <is>
          <t>TXN100180</t>
        </is>
      </c>
      <c r="B182" s="2" t="n">
        <v>306</v>
      </c>
      <c r="C182" s="2" t="n">
        <v>1</v>
      </c>
      <c r="D182" s="2" t="inlineStr">
        <is>
          <t>2026-01-11 04:50:00</t>
        </is>
      </c>
      <c r="E182" s="2" t="n">
        <v>299</v>
      </c>
      <c r="F182" s="2" t="inlineStr">
        <is>
          <t>UPI</t>
        </is>
      </c>
      <c r="G182" s="2" t="inlineStr">
        <is>
          <t>failed</t>
        </is>
      </c>
      <c r="H182" s="2" t="n">
        <v>35</v>
      </c>
      <c r="I182" s="2">
        <f>IFERROR(VLOOKUP(C182,Merchants!$A$2:$D$41,2,FALSE),"Merchant not found")</f>
        <v/>
      </c>
      <c r="J182" s="2">
        <f>IFERROR(VLOOKUP(C182,Merchants!$A$2:$D$41,3,FALSE),"Merchant not found")</f>
        <v/>
      </c>
      <c r="K182" s="2">
        <f>IFERROR(VLOOKUP(C182,Merchants!$A$2:$D$41,4,FALSE),"Merchant not found")</f>
        <v/>
      </c>
      <c r="L182" s="2">
        <f>IFERROR(HLOOKUP(F182,Fee_Tiers!$B$4:$E$5,2,FALSE),0)</f>
        <v/>
      </c>
      <c r="M182" s="2">
        <f>IF(AND(E182&gt;500,K182&lt;&gt;"East"),"High-Value Merchant Day",IF(AND(E182&gt;500,K182="East"),"High-Value East (Excluded)",IF(E182&lt;=500,"Standard","Unknown")))</f>
        <v/>
      </c>
    </row>
    <row r="183">
      <c r="A183" s="2" t="inlineStr">
        <is>
          <t>TXN100181</t>
        </is>
      </c>
      <c r="B183" s="2" t="n">
        <v>277</v>
      </c>
      <c r="C183" s="2" t="n">
        <v>17</v>
      </c>
      <c r="D183" s="2" t="inlineStr">
        <is>
          <t>2026-01-28 04:08:00</t>
        </is>
      </c>
      <c r="E183" s="2" t="n">
        <v>299</v>
      </c>
      <c r="F183" s="2" t="inlineStr">
        <is>
          <t>UPI</t>
        </is>
      </c>
      <c r="G183" s="2" t="inlineStr">
        <is>
          <t>captured</t>
        </is>
      </c>
      <c r="H183" s="2" t="n">
        <v>22</v>
      </c>
      <c r="I183" s="2">
        <f>IFERROR(VLOOKUP(C183,Merchants!$A$2:$D$41,2,FALSE),"Merchant not found")</f>
        <v/>
      </c>
      <c r="J183" s="2">
        <f>IFERROR(VLOOKUP(C183,Merchants!$A$2:$D$41,3,FALSE),"Merchant not found")</f>
        <v/>
      </c>
      <c r="K183" s="2">
        <f>IFERROR(VLOOKUP(C183,Merchants!$A$2:$D$41,4,FALSE),"Merchant not found")</f>
        <v/>
      </c>
      <c r="L183" s="2">
        <f>IFERROR(HLOOKUP(F183,Fee_Tiers!$B$4:$E$5,2,FALSE),0)</f>
        <v/>
      </c>
      <c r="M183" s="2">
        <f>IF(AND(E183&gt;500,K183&lt;&gt;"East"),"High-Value Merchant Day",IF(AND(E183&gt;500,K183="East"),"High-Value East (Excluded)",IF(E183&lt;=500,"Standard","Unknown")))</f>
        <v/>
      </c>
    </row>
    <row r="184">
      <c r="A184" s="2" t="inlineStr">
        <is>
          <t>TXN100182</t>
        </is>
      </c>
      <c r="B184" s="2" t="n">
        <v>14</v>
      </c>
      <c r="C184" s="2" t="n">
        <v>9</v>
      </c>
      <c r="D184" s="2" t="inlineStr">
        <is>
          <t>2026-01-04 21:55:00</t>
        </is>
      </c>
      <c r="E184" s="2" t="n">
        <v>499</v>
      </c>
      <c r="F184" s="2" t="inlineStr">
        <is>
          <t>UPI</t>
        </is>
      </c>
      <c r="G184" s="2" t="inlineStr">
        <is>
          <t>captured</t>
        </is>
      </c>
      <c r="H184" s="2" t="n">
        <v>1</v>
      </c>
      <c r="I184" s="2">
        <f>IFERROR(VLOOKUP(C184,Merchants!$A$2:$D$41,2,FALSE),"Merchant not found")</f>
        <v/>
      </c>
      <c r="J184" s="2">
        <f>IFERROR(VLOOKUP(C184,Merchants!$A$2:$D$41,3,FALSE),"Merchant not found")</f>
        <v/>
      </c>
      <c r="K184" s="2">
        <f>IFERROR(VLOOKUP(C184,Merchants!$A$2:$D$41,4,FALSE),"Merchant not found")</f>
        <v/>
      </c>
      <c r="L184" s="2">
        <f>IFERROR(HLOOKUP(F184,Fee_Tiers!$B$4:$E$5,2,FALSE),0)</f>
        <v/>
      </c>
      <c r="M184" s="2">
        <f>IF(AND(E184&gt;500,K184&lt;&gt;"East"),"High-Value Merchant Day",IF(AND(E184&gt;500,K184="East"),"High-Value East (Excluded)",IF(E184&lt;=500,"Standard","Unknown")))</f>
        <v/>
      </c>
    </row>
    <row r="185">
      <c r="A185" s="2" t="inlineStr">
        <is>
          <t>TXN100183</t>
        </is>
      </c>
      <c r="B185" s="2" t="n">
        <v>166</v>
      </c>
      <c r="C185" s="2" t="n">
        <v>2</v>
      </c>
      <c r="D185" s="2" t="inlineStr">
        <is>
          <t>2026-01-12 07:37:00</t>
        </is>
      </c>
      <c r="E185" s="2" t="n">
        <v>299</v>
      </c>
      <c r="F185" s="2" t="inlineStr">
        <is>
          <t>Card</t>
        </is>
      </c>
      <c r="G185" s="2" t="inlineStr">
        <is>
          <t>captured</t>
        </is>
      </c>
      <c r="H185" s="2" t="n">
        <v>22</v>
      </c>
      <c r="I185" s="2">
        <f>IFERROR(VLOOKUP(C185,Merchants!$A$2:$D$41,2,FALSE),"Merchant not found")</f>
        <v/>
      </c>
      <c r="J185" s="2">
        <f>IFERROR(VLOOKUP(C185,Merchants!$A$2:$D$41,3,FALSE),"Merchant not found")</f>
        <v/>
      </c>
      <c r="K185" s="2">
        <f>IFERROR(VLOOKUP(C185,Merchants!$A$2:$D$41,4,FALSE),"Merchant not found")</f>
        <v/>
      </c>
      <c r="L185" s="2">
        <f>IFERROR(HLOOKUP(F185,Fee_Tiers!$B$4:$E$5,2,FALSE),0)</f>
        <v/>
      </c>
      <c r="M185" s="2">
        <f>IF(AND(E185&gt;500,K185&lt;&gt;"East"),"High-Value Merchant Day",IF(AND(E185&gt;500,K185="East"),"High-Value East (Excluded)",IF(E185&lt;=500,"Standard","Unknown")))</f>
        <v/>
      </c>
    </row>
    <row r="186">
      <c r="A186" s="2" t="inlineStr">
        <is>
          <t>TXN100184</t>
        </is>
      </c>
      <c r="B186" s="2" t="n">
        <v>216</v>
      </c>
      <c r="C186" s="2" t="n">
        <v>34</v>
      </c>
      <c r="D186" s="2" t="inlineStr">
        <is>
          <t>2026-01-09 01:08:00</t>
        </is>
      </c>
      <c r="E186" s="2" t="n">
        <v>299</v>
      </c>
      <c r="F186" s="2" t="inlineStr">
        <is>
          <t>Card</t>
        </is>
      </c>
      <c r="G186" s="2" t="inlineStr">
        <is>
          <t>captured</t>
        </is>
      </c>
      <c r="H186" s="2" t="n">
        <v>14</v>
      </c>
      <c r="I186" s="2">
        <f>IFERROR(VLOOKUP(C186,Merchants!$A$2:$D$41,2,FALSE),"Merchant not found")</f>
        <v/>
      </c>
      <c r="J186" s="2">
        <f>IFERROR(VLOOKUP(C186,Merchants!$A$2:$D$41,3,FALSE),"Merchant not found")</f>
        <v/>
      </c>
      <c r="K186" s="2">
        <f>IFERROR(VLOOKUP(C186,Merchants!$A$2:$D$41,4,FALSE),"Merchant not found")</f>
        <v/>
      </c>
      <c r="L186" s="2">
        <f>IFERROR(HLOOKUP(F186,Fee_Tiers!$B$4:$E$5,2,FALSE),0)</f>
        <v/>
      </c>
      <c r="M186" s="2">
        <f>IF(AND(E186&gt;500,K186&lt;&gt;"East"),"High-Value Merchant Day",IF(AND(E186&gt;500,K186="East"),"High-Value East (Excluded)",IF(E186&lt;=500,"Standard","Unknown")))</f>
        <v/>
      </c>
    </row>
    <row r="187">
      <c r="A187" s="2" t="inlineStr">
        <is>
          <t>TXN100185</t>
        </is>
      </c>
      <c r="B187" s="2" t="n">
        <v>230</v>
      </c>
      <c r="C187" s="2" t="n">
        <v>24</v>
      </c>
      <c r="D187" s="2" t="inlineStr">
        <is>
          <t>2026-01-24 02:30:00</t>
        </is>
      </c>
      <c r="E187" s="2" t="n">
        <v>49</v>
      </c>
      <c r="F187" s="2" t="inlineStr">
        <is>
          <t>UPI</t>
        </is>
      </c>
      <c r="G187" s="2" t="inlineStr">
        <is>
          <t>captured</t>
        </is>
      </c>
      <c r="H187" s="2" t="n">
        <v>65</v>
      </c>
      <c r="I187" s="2">
        <f>IFERROR(VLOOKUP(C187,Merchants!$A$2:$D$41,2,FALSE),"Merchant not found")</f>
        <v/>
      </c>
      <c r="J187" s="2">
        <f>IFERROR(VLOOKUP(C187,Merchants!$A$2:$D$41,3,FALSE),"Merchant not found")</f>
        <v/>
      </c>
      <c r="K187" s="2">
        <f>IFERROR(VLOOKUP(C187,Merchants!$A$2:$D$41,4,FALSE),"Merchant not found")</f>
        <v/>
      </c>
      <c r="L187" s="2">
        <f>IFERROR(HLOOKUP(F187,Fee_Tiers!$B$4:$E$5,2,FALSE),0)</f>
        <v/>
      </c>
      <c r="M187" s="2">
        <f>IF(AND(E187&gt;500,K187&lt;&gt;"East"),"High-Value Merchant Day",IF(AND(E187&gt;500,K187="East"),"High-Value East (Excluded)",IF(E187&lt;=500,"Standard","Unknown")))</f>
        <v/>
      </c>
    </row>
    <row r="188">
      <c r="A188" s="2" t="inlineStr">
        <is>
          <t>TXN100186</t>
        </is>
      </c>
      <c r="B188" s="2" t="n">
        <v>258</v>
      </c>
      <c r="C188" s="2" t="n">
        <v>15</v>
      </c>
      <c r="D188" s="2" t="inlineStr">
        <is>
          <t>2026-01-19 03:28:00</t>
        </is>
      </c>
      <c r="E188" s="2" t="n">
        <v>499</v>
      </c>
      <c r="F188" s="2" t="inlineStr">
        <is>
          <t>Wallet</t>
        </is>
      </c>
      <c r="G188" s="2" t="inlineStr">
        <is>
          <t>captured</t>
        </is>
      </c>
      <c r="H188" s="2" t="n">
        <v>78</v>
      </c>
      <c r="I188" s="2">
        <f>IFERROR(VLOOKUP(C188,Merchants!$A$2:$D$41,2,FALSE),"Merchant not found")</f>
        <v/>
      </c>
      <c r="J188" s="2">
        <f>IFERROR(VLOOKUP(C188,Merchants!$A$2:$D$41,3,FALSE),"Merchant not found")</f>
        <v/>
      </c>
      <c r="K188" s="2">
        <f>IFERROR(VLOOKUP(C188,Merchants!$A$2:$D$41,4,FALSE),"Merchant not found")</f>
        <v/>
      </c>
      <c r="L188" s="2">
        <f>IFERROR(HLOOKUP(F188,Fee_Tiers!$B$4:$E$5,2,FALSE),0)</f>
        <v/>
      </c>
      <c r="M188" s="2">
        <f>IF(AND(E188&gt;500,K188&lt;&gt;"East"),"High-Value Merchant Day",IF(AND(E188&gt;500,K188="East"),"High-Value East (Excluded)",IF(E188&lt;=500,"Standard","Unknown")))</f>
        <v/>
      </c>
    </row>
    <row r="189">
      <c r="A189" s="2" t="inlineStr">
        <is>
          <t>TXN100187</t>
        </is>
      </c>
      <c r="B189" s="2" t="n">
        <v>338</v>
      </c>
      <c r="C189" s="2" t="n">
        <v>34</v>
      </c>
      <c r="D189" s="2" t="inlineStr">
        <is>
          <t>2026-01-02 23:50:00</t>
        </is>
      </c>
      <c r="E189" s="2" t="n">
        <v>49</v>
      </c>
      <c r="F189" s="2" t="inlineStr">
        <is>
          <t>UPI</t>
        </is>
      </c>
      <c r="G189" s="2" t="inlineStr">
        <is>
          <t>captured</t>
        </is>
      </c>
      <c r="H189" s="2" t="n">
        <v>38</v>
      </c>
      <c r="I189" s="2">
        <f>IFERROR(VLOOKUP(C189,Merchants!$A$2:$D$41,2,FALSE),"Merchant not found")</f>
        <v/>
      </c>
      <c r="J189" s="2">
        <f>IFERROR(VLOOKUP(C189,Merchants!$A$2:$D$41,3,FALSE),"Merchant not found")</f>
        <v/>
      </c>
      <c r="K189" s="2">
        <f>IFERROR(VLOOKUP(C189,Merchants!$A$2:$D$41,4,FALSE),"Merchant not found")</f>
        <v/>
      </c>
      <c r="L189" s="2">
        <f>IFERROR(HLOOKUP(F189,Fee_Tiers!$B$4:$E$5,2,FALSE),0)</f>
        <v/>
      </c>
      <c r="M189" s="2">
        <f>IF(AND(E189&gt;500,K189&lt;&gt;"East"),"High-Value Merchant Day",IF(AND(E189&gt;500,K189="East"),"High-Value East (Excluded)",IF(E189&lt;=500,"Standard","Unknown")))</f>
        <v/>
      </c>
    </row>
    <row r="190">
      <c r="A190" s="2" t="inlineStr">
        <is>
          <t>TXN100188</t>
        </is>
      </c>
      <c r="B190" s="2" t="n">
        <v>32</v>
      </c>
      <c r="C190" s="2" t="n">
        <v>31</v>
      </c>
      <c r="D190" s="2" t="inlineStr">
        <is>
          <t>2026-01-15 20:01:00</t>
        </is>
      </c>
      <c r="E190" s="2" t="n">
        <v>299</v>
      </c>
      <c r="F190" s="2" t="inlineStr">
        <is>
          <t>UPI</t>
        </is>
      </c>
      <c r="G190" s="2" t="inlineStr">
        <is>
          <t>captured</t>
        </is>
      </c>
      <c r="H190" s="2" t="n">
        <v>51</v>
      </c>
      <c r="I190" s="2">
        <f>IFERROR(VLOOKUP(C190,Merchants!$A$2:$D$41,2,FALSE),"Merchant not found")</f>
        <v/>
      </c>
      <c r="J190" s="2">
        <f>IFERROR(VLOOKUP(C190,Merchants!$A$2:$D$41,3,FALSE),"Merchant not found")</f>
        <v/>
      </c>
      <c r="K190" s="2">
        <f>IFERROR(VLOOKUP(C190,Merchants!$A$2:$D$41,4,FALSE),"Merchant not found")</f>
        <v/>
      </c>
      <c r="L190" s="2">
        <f>IFERROR(HLOOKUP(F190,Fee_Tiers!$B$4:$E$5,2,FALSE),0)</f>
        <v/>
      </c>
      <c r="M190" s="2">
        <f>IF(AND(E190&gt;500,K190&lt;&gt;"East"),"High-Value Merchant Day",IF(AND(E190&gt;500,K190="East"),"High-Value East (Excluded)",IF(E190&lt;=500,"Standard","Unknown")))</f>
        <v/>
      </c>
    </row>
    <row r="191">
      <c r="A191" s="2" t="inlineStr">
        <is>
          <t>TXN100189</t>
        </is>
      </c>
      <c r="B191" s="2" t="n">
        <v>252</v>
      </c>
      <c r="C191" s="2" t="n">
        <v>29</v>
      </c>
      <c r="D191" s="2" t="inlineStr">
        <is>
          <t>2026-01-14 21:06:00</t>
        </is>
      </c>
      <c r="E191" s="2" t="n">
        <v>1499</v>
      </c>
      <c r="F191" s="2" t="inlineStr">
        <is>
          <t>UPI</t>
        </is>
      </c>
      <c r="G191" s="2" t="inlineStr">
        <is>
          <t>captured</t>
        </is>
      </c>
      <c r="H191" s="2" t="n">
        <v>9</v>
      </c>
      <c r="I191" s="2">
        <f>IFERROR(VLOOKUP(C191,Merchants!$A$2:$D$41,2,FALSE),"Merchant not found")</f>
        <v/>
      </c>
      <c r="J191" s="2">
        <f>IFERROR(VLOOKUP(C191,Merchants!$A$2:$D$41,3,FALSE),"Merchant not found")</f>
        <v/>
      </c>
      <c r="K191" s="2">
        <f>IFERROR(VLOOKUP(C191,Merchants!$A$2:$D$41,4,FALSE),"Merchant not found")</f>
        <v/>
      </c>
      <c r="L191" s="2">
        <f>IFERROR(HLOOKUP(F191,Fee_Tiers!$B$4:$E$5,2,FALSE),0)</f>
        <v/>
      </c>
      <c r="M191" s="2">
        <f>IF(AND(E191&gt;500,K191&lt;&gt;"East"),"High-Value Merchant Day",IF(AND(E191&gt;500,K191="East"),"High-Value East (Excluded)",IF(E191&lt;=500,"Standard","Unknown")))</f>
        <v/>
      </c>
    </row>
    <row r="192">
      <c r="A192" s="2" t="inlineStr">
        <is>
          <t>TXN100190</t>
        </is>
      </c>
      <c r="B192" s="2" t="n">
        <v>312</v>
      </c>
      <c r="C192" s="2" t="n">
        <v>10</v>
      </c>
      <c r="D192" s="2" t="inlineStr">
        <is>
          <t>2026-01-29 02:20:00</t>
        </is>
      </c>
      <c r="E192" s="2" t="n">
        <v>799</v>
      </c>
      <c r="F192" s="2" t="inlineStr">
        <is>
          <t>UPI</t>
        </is>
      </c>
      <c r="G192" s="2" t="inlineStr">
        <is>
          <t>captured</t>
        </is>
      </c>
      <c r="H192" s="2" t="n">
        <v>8</v>
      </c>
      <c r="I192" s="2">
        <f>IFERROR(VLOOKUP(C192,Merchants!$A$2:$D$41,2,FALSE),"Merchant not found")</f>
        <v/>
      </c>
      <c r="J192" s="2">
        <f>IFERROR(VLOOKUP(C192,Merchants!$A$2:$D$41,3,FALSE),"Merchant not found")</f>
        <v/>
      </c>
      <c r="K192" s="2">
        <f>IFERROR(VLOOKUP(C192,Merchants!$A$2:$D$41,4,FALSE),"Merchant not found")</f>
        <v/>
      </c>
      <c r="L192" s="2">
        <f>IFERROR(HLOOKUP(F192,Fee_Tiers!$B$4:$E$5,2,FALSE),0)</f>
        <v/>
      </c>
      <c r="M192" s="2">
        <f>IF(AND(E192&gt;500,K192&lt;&gt;"East"),"High-Value Merchant Day",IF(AND(E192&gt;500,K192="East"),"High-Value East (Excluded)",IF(E192&lt;=500,"Standard","Unknown")))</f>
        <v/>
      </c>
    </row>
    <row r="193">
      <c r="A193" s="2" t="inlineStr">
        <is>
          <t>TXN100191</t>
        </is>
      </c>
      <c r="B193" s="2" t="n">
        <v>325</v>
      </c>
      <c r="C193" s="2" t="n">
        <v>38</v>
      </c>
      <c r="D193" s="2" t="inlineStr">
        <is>
          <t>2026-01-05 08:39:00</t>
        </is>
      </c>
      <c r="E193" s="2" t="n">
        <v>1499</v>
      </c>
      <c r="F193" s="2" t="inlineStr">
        <is>
          <t>Netbanking</t>
        </is>
      </c>
      <c r="G193" s="2" t="inlineStr">
        <is>
          <t>captured</t>
        </is>
      </c>
      <c r="H193" s="2" t="n">
        <v>70</v>
      </c>
      <c r="I193" s="2">
        <f>IFERROR(VLOOKUP(C193,Merchants!$A$2:$D$41,2,FALSE),"Merchant not found")</f>
        <v/>
      </c>
      <c r="J193" s="2">
        <f>IFERROR(VLOOKUP(C193,Merchants!$A$2:$D$41,3,FALSE),"Merchant not found")</f>
        <v/>
      </c>
      <c r="K193" s="2">
        <f>IFERROR(VLOOKUP(C193,Merchants!$A$2:$D$41,4,FALSE),"Merchant not found")</f>
        <v/>
      </c>
      <c r="L193" s="2">
        <f>IFERROR(HLOOKUP(F193,Fee_Tiers!$B$4:$E$5,2,FALSE),0)</f>
        <v/>
      </c>
      <c r="M193" s="2">
        <f>IF(AND(E193&gt;500,K193&lt;&gt;"East"),"High-Value Merchant Day",IF(AND(E193&gt;500,K193="East"),"High-Value East (Excluded)",IF(E193&lt;=500,"Standard","Unknown")))</f>
        <v/>
      </c>
    </row>
    <row r="194">
      <c r="A194" s="2" t="inlineStr">
        <is>
          <t>TXN100192</t>
        </is>
      </c>
      <c r="B194" s="2" t="n">
        <v>306</v>
      </c>
      <c r="C194" s="2" t="n">
        <v>34</v>
      </c>
      <c r="D194" s="2" t="inlineStr">
        <is>
          <t>2026-01-23 10:24:00</t>
        </is>
      </c>
      <c r="E194" s="2" t="n">
        <v>2999</v>
      </c>
      <c r="F194" s="2" t="inlineStr">
        <is>
          <t>UPI</t>
        </is>
      </c>
      <c r="G194" s="2" t="inlineStr">
        <is>
          <t>captured</t>
        </is>
      </c>
      <c r="H194" s="2" t="n">
        <v>37</v>
      </c>
      <c r="I194" s="2">
        <f>IFERROR(VLOOKUP(C194,Merchants!$A$2:$D$41,2,FALSE),"Merchant not found")</f>
        <v/>
      </c>
      <c r="J194" s="2">
        <f>IFERROR(VLOOKUP(C194,Merchants!$A$2:$D$41,3,FALSE),"Merchant not found")</f>
        <v/>
      </c>
      <c r="K194" s="2">
        <f>IFERROR(VLOOKUP(C194,Merchants!$A$2:$D$41,4,FALSE),"Merchant not found")</f>
        <v/>
      </c>
      <c r="L194" s="2">
        <f>IFERROR(HLOOKUP(F194,Fee_Tiers!$B$4:$E$5,2,FALSE),0)</f>
        <v/>
      </c>
      <c r="M194" s="2">
        <f>IF(AND(E194&gt;500,K194&lt;&gt;"East"),"High-Value Merchant Day",IF(AND(E194&gt;500,K194="East"),"High-Value East (Excluded)",IF(E194&lt;=500,"Standard","Unknown")))</f>
        <v/>
      </c>
    </row>
    <row r="195">
      <c r="A195" s="2" t="inlineStr">
        <is>
          <t>TXN100193</t>
        </is>
      </c>
      <c r="B195" s="2" t="n">
        <v>221</v>
      </c>
      <c r="C195" s="2" t="n">
        <v>7</v>
      </c>
      <c r="D195" s="2" t="inlineStr">
        <is>
          <t>2026-01-15 16:38:00</t>
        </is>
      </c>
      <c r="E195" s="2" t="n">
        <v>149</v>
      </c>
      <c r="F195" s="2" t="inlineStr">
        <is>
          <t>Netbanking</t>
        </is>
      </c>
      <c r="G195" s="2" t="inlineStr">
        <is>
          <t>captured</t>
        </is>
      </c>
      <c r="H195" s="2" t="n">
        <v>89</v>
      </c>
      <c r="I195" s="2">
        <f>IFERROR(VLOOKUP(C195,Merchants!$A$2:$D$41,2,FALSE),"Merchant not found")</f>
        <v/>
      </c>
      <c r="J195" s="2">
        <f>IFERROR(VLOOKUP(C195,Merchants!$A$2:$D$41,3,FALSE),"Merchant not found")</f>
        <v/>
      </c>
      <c r="K195" s="2">
        <f>IFERROR(VLOOKUP(C195,Merchants!$A$2:$D$41,4,FALSE),"Merchant not found")</f>
        <v/>
      </c>
      <c r="L195" s="2">
        <f>IFERROR(HLOOKUP(F195,Fee_Tiers!$B$4:$E$5,2,FALSE),0)</f>
        <v/>
      </c>
      <c r="M195" s="2">
        <f>IF(AND(E195&gt;500,K195&lt;&gt;"East"),"High-Value Merchant Day",IF(AND(E195&gt;500,K195="East"),"High-Value East (Excluded)",IF(E195&lt;=500,"Standard","Unknown")))</f>
        <v/>
      </c>
    </row>
    <row r="196">
      <c r="A196" s="2" t="inlineStr">
        <is>
          <t>TXN100194</t>
        </is>
      </c>
      <c r="B196" s="2" t="n">
        <v>283</v>
      </c>
      <c r="C196" s="2" t="n">
        <v>14</v>
      </c>
      <c r="D196" s="2" t="inlineStr">
        <is>
          <t>2026-01-04 20:41:00</t>
        </is>
      </c>
      <c r="E196" s="2" t="n">
        <v>99</v>
      </c>
      <c r="F196" s="2" t="inlineStr">
        <is>
          <t>Wallet</t>
        </is>
      </c>
      <c r="G196" s="2" t="inlineStr">
        <is>
          <t>captured</t>
        </is>
      </c>
      <c r="H196" s="2" t="n">
        <v>55</v>
      </c>
      <c r="I196" s="2">
        <f>IFERROR(VLOOKUP(C196,Merchants!$A$2:$D$41,2,FALSE),"Merchant not found")</f>
        <v/>
      </c>
      <c r="J196" s="2">
        <f>IFERROR(VLOOKUP(C196,Merchants!$A$2:$D$41,3,FALSE),"Merchant not found")</f>
        <v/>
      </c>
      <c r="K196" s="2">
        <f>IFERROR(VLOOKUP(C196,Merchants!$A$2:$D$41,4,FALSE),"Merchant not found")</f>
        <v/>
      </c>
      <c r="L196" s="2">
        <f>IFERROR(HLOOKUP(F196,Fee_Tiers!$B$4:$E$5,2,FALSE),0)</f>
        <v/>
      </c>
      <c r="M196" s="2">
        <f>IF(AND(E196&gt;500,K196&lt;&gt;"East"),"High-Value Merchant Day",IF(AND(E196&gt;500,K196="East"),"High-Value East (Excluded)",IF(E196&lt;=500,"Standard","Unknown")))</f>
        <v/>
      </c>
    </row>
    <row r="197">
      <c r="A197" s="2" t="inlineStr">
        <is>
          <t>TXN100195</t>
        </is>
      </c>
      <c r="B197" s="2" t="n">
        <v>174</v>
      </c>
      <c r="C197" s="2" t="n">
        <v>30</v>
      </c>
      <c r="D197" s="2" t="inlineStr">
        <is>
          <t>2026-01-15 07:26:00</t>
        </is>
      </c>
      <c r="E197" s="2" t="n">
        <v>49</v>
      </c>
      <c r="F197" s="2" t="inlineStr">
        <is>
          <t>UPI</t>
        </is>
      </c>
      <c r="G197" s="2" t="inlineStr">
        <is>
          <t>captured</t>
        </is>
      </c>
      <c r="H197" s="2" t="n">
        <v>51</v>
      </c>
      <c r="I197" s="2">
        <f>IFERROR(VLOOKUP(C197,Merchants!$A$2:$D$41,2,FALSE),"Merchant not found")</f>
        <v/>
      </c>
      <c r="J197" s="2">
        <f>IFERROR(VLOOKUP(C197,Merchants!$A$2:$D$41,3,FALSE),"Merchant not found")</f>
        <v/>
      </c>
      <c r="K197" s="2">
        <f>IFERROR(VLOOKUP(C197,Merchants!$A$2:$D$41,4,FALSE),"Merchant not found")</f>
        <v/>
      </c>
      <c r="L197" s="2">
        <f>IFERROR(HLOOKUP(F197,Fee_Tiers!$B$4:$E$5,2,FALSE),0)</f>
        <v/>
      </c>
      <c r="M197" s="2">
        <f>IF(AND(E197&gt;500,K197&lt;&gt;"East"),"High-Value Merchant Day",IF(AND(E197&gt;500,K197="East"),"High-Value East (Excluded)",IF(E197&lt;=500,"Standard","Unknown")))</f>
        <v/>
      </c>
    </row>
    <row r="198">
      <c r="A198" s="2" t="inlineStr">
        <is>
          <t>TXN100196</t>
        </is>
      </c>
      <c r="B198" s="2" t="n">
        <v>161</v>
      </c>
      <c r="C198" s="2" t="n">
        <v>28</v>
      </c>
      <c r="D198" s="2" t="inlineStr">
        <is>
          <t>2026-01-14 23:06:00</t>
        </is>
      </c>
      <c r="E198" s="2" t="n">
        <v>49</v>
      </c>
      <c r="F198" s="2" t="inlineStr">
        <is>
          <t>UPI</t>
        </is>
      </c>
      <c r="G198" s="2" t="inlineStr">
        <is>
          <t>captured</t>
        </is>
      </c>
      <c r="H198" s="2" t="n">
        <v>40</v>
      </c>
      <c r="I198" s="2">
        <f>IFERROR(VLOOKUP(C198,Merchants!$A$2:$D$41,2,FALSE),"Merchant not found")</f>
        <v/>
      </c>
      <c r="J198" s="2">
        <f>IFERROR(VLOOKUP(C198,Merchants!$A$2:$D$41,3,FALSE),"Merchant not found")</f>
        <v/>
      </c>
      <c r="K198" s="2">
        <f>IFERROR(VLOOKUP(C198,Merchants!$A$2:$D$41,4,FALSE),"Merchant not found")</f>
        <v/>
      </c>
      <c r="L198" s="2">
        <f>IFERROR(HLOOKUP(F198,Fee_Tiers!$B$4:$E$5,2,FALSE),0)</f>
        <v/>
      </c>
      <c r="M198" s="2">
        <f>IF(AND(E198&gt;500,K198&lt;&gt;"East"),"High-Value Merchant Day",IF(AND(E198&gt;500,K198="East"),"High-Value East (Excluded)",IF(E198&lt;=500,"Standard","Unknown")))</f>
        <v/>
      </c>
    </row>
    <row r="199">
      <c r="A199" s="2" t="inlineStr">
        <is>
          <t>TXN100197</t>
        </is>
      </c>
      <c r="B199" s="2" t="n">
        <v>79</v>
      </c>
      <c r="C199" s="2" t="n">
        <v>31</v>
      </c>
      <c r="D199" s="2" t="inlineStr">
        <is>
          <t>2026-01-22 08:23:00</t>
        </is>
      </c>
      <c r="E199" s="2" t="n">
        <v>99</v>
      </c>
      <c r="F199" s="2" t="inlineStr">
        <is>
          <t>UPI</t>
        </is>
      </c>
      <c r="G199" s="2" t="inlineStr">
        <is>
          <t>captured</t>
        </is>
      </c>
      <c r="H199" s="2" t="n">
        <v>8</v>
      </c>
      <c r="I199" s="2">
        <f>IFERROR(VLOOKUP(C199,Merchants!$A$2:$D$41,2,FALSE),"Merchant not found")</f>
        <v/>
      </c>
      <c r="J199" s="2">
        <f>IFERROR(VLOOKUP(C199,Merchants!$A$2:$D$41,3,FALSE),"Merchant not found")</f>
        <v/>
      </c>
      <c r="K199" s="2">
        <f>IFERROR(VLOOKUP(C199,Merchants!$A$2:$D$41,4,FALSE),"Merchant not found")</f>
        <v/>
      </c>
      <c r="L199" s="2">
        <f>IFERROR(HLOOKUP(F199,Fee_Tiers!$B$4:$E$5,2,FALSE),0)</f>
        <v/>
      </c>
      <c r="M199" s="2">
        <f>IF(AND(E199&gt;500,K199&lt;&gt;"East"),"High-Value Merchant Day",IF(AND(E199&gt;500,K199="East"),"High-Value East (Excluded)",IF(E199&lt;=500,"Standard","Unknown")))</f>
        <v/>
      </c>
    </row>
    <row r="200">
      <c r="A200" s="2" t="inlineStr">
        <is>
          <t>TXN100198</t>
        </is>
      </c>
      <c r="B200" s="2" t="n">
        <v>222</v>
      </c>
      <c r="C200" s="2" t="n">
        <v>7</v>
      </c>
      <c r="D200" s="2" t="inlineStr">
        <is>
          <t>2026-01-03 02:05:00</t>
        </is>
      </c>
      <c r="E200" s="2" t="n">
        <v>149</v>
      </c>
      <c r="F200" s="2" t="inlineStr">
        <is>
          <t>Wallet</t>
        </is>
      </c>
      <c r="G200" s="2" t="inlineStr">
        <is>
          <t>captured</t>
        </is>
      </c>
      <c r="H200" s="2" t="n">
        <v>95</v>
      </c>
      <c r="I200" s="2">
        <f>IFERROR(VLOOKUP(C200,Merchants!$A$2:$D$41,2,FALSE),"Merchant not found")</f>
        <v/>
      </c>
      <c r="J200" s="2">
        <f>IFERROR(VLOOKUP(C200,Merchants!$A$2:$D$41,3,FALSE),"Merchant not found")</f>
        <v/>
      </c>
      <c r="K200" s="2">
        <f>IFERROR(VLOOKUP(C200,Merchants!$A$2:$D$41,4,FALSE),"Merchant not found")</f>
        <v/>
      </c>
      <c r="L200" s="2">
        <f>IFERROR(HLOOKUP(F200,Fee_Tiers!$B$4:$E$5,2,FALSE),0)</f>
        <v/>
      </c>
      <c r="M200" s="2">
        <f>IF(AND(E200&gt;500,K200&lt;&gt;"East"),"High-Value Merchant Day",IF(AND(E200&gt;500,K200="East"),"High-Value East (Excluded)",IF(E200&lt;=500,"Standard","Unknown")))</f>
        <v/>
      </c>
    </row>
    <row r="201">
      <c r="A201" s="2" t="inlineStr">
        <is>
          <t>TXN100199</t>
        </is>
      </c>
      <c r="B201" s="2" t="n">
        <v>67</v>
      </c>
      <c r="C201" s="2" t="n">
        <v>36</v>
      </c>
      <c r="D201" s="2" t="inlineStr">
        <is>
          <t>2026-01-24 11:51:00</t>
        </is>
      </c>
      <c r="E201" s="2" t="n">
        <v>99</v>
      </c>
      <c r="F201" s="2" t="inlineStr">
        <is>
          <t>UPI</t>
        </is>
      </c>
      <c r="G201" s="2" t="inlineStr">
        <is>
          <t>captured</t>
        </is>
      </c>
      <c r="H201" s="2" t="n">
        <v>7</v>
      </c>
      <c r="I201" s="2">
        <f>IFERROR(VLOOKUP(C201,Merchants!$A$2:$D$41,2,FALSE),"Merchant not found")</f>
        <v/>
      </c>
      <c r="J201" s="2">
        <f>IFERROR(VLOOKUP(C201,Merchants!$A$2:$D$41,3,FALSE),"Merchant not found")</f>
        <v/>
      </c>
      <c r="K201" s="2">
        <f>IFERROR(VLOOKUP(C201,Merchants!$A$2:$D$41,4,FALSE),"Merchant not found")</f>
        <v/>
      </c>
      <c r="L201" s="2">
        <f>IFERROR(HLOOKUP(F201,Fee_Tiers!$B$4:$E$5,2,FALSE),0)</f>
        <v/>
      </c>
      <c r="M201" s="2">
        <f>IF(AND(E201&gt;500,K201&lt;&gt;"East"),"High-Value Merchant Day",IF(AND(E201&gt;500,K201="East"),"High-Value East (Excluded)",IF(E201&lt;=500,"Standard","Unknown")))</f>
        <v/>
      </c>
    </row>
    <row r="202">
      <c r="A202" s="2" t="inlineStr">
        <is>
          <t>TXN100200</t>
        </is>
      </c>
      <c r="B202" s="2" t="n">
        <v>169</v>
      </c>
      <c r="C202" s="2" t="n">
        <v>8</v>
      </c>
      <c r="D202" s="2" t="inlineStr">
        <is>
          <t>2026-01-19 17:35:00</t>
        </is>
      </c>
      <c r="E202" s="2" t="n">
        <v>99</v>
      </c>
      <c r="F202" s="2" t="inlineStr">
        <is>
          <t>UPI</t>
        </is>
      </c>
      <c r="G202" s="2" t="inlineStr">
        <is>
          <t>captured</t>
        </is>
      </c>
      <c r="H202" s="2" t="n">
        <v>52</v>
      </c>
      <c r="I202" s="2">
        <f>IFERROR(VLOOKUP(C202,Merchants!$A$2:$D$41,2,FALSE),"Merchant not found")</f>
        <v/>
      </c>
      <c r="J202" s="2">
        <f>IFERROR(VLOOKUP(C202,Merchants!$A$2:$D$41,3,FALSE),"Merchant not found")</f>
        <v/>
      </c>
      <c r="K202" s="2">
        <f>IFERROR(VLOOKUP(C202,Merchants!$A$2:$D$41,4,FALSE),"Merchant not found")</f>
        <v/>
      </c>
      <c r="L202" s="2">
        <f>IFERROR(HLOOKUP(F202,Fee_Tiers!$B$4:$E$5,2,FALSE),0)</f>
        <v/>
      </c>
      <c r="M202" s="2">
        <f>IF(AND(E202&gt;500,K202&lt;&gt;"East"),"High-Value Merchant Day",IF(AND(E202&gt;500,K202="East"),"High-Value East (Excluded)",IF(E202&lt;=500,"Standard","Unknown")))</f>
        <v/>
      </c>
    </row>
    <row r="203">
      <c r="A203" s="2" t="inlineStr">
        <is>
          <t>TXN100201</t>
        </is>
      </c>
      <c r="B203" s="2" t="n">
        <v>217</v>
      </c>
      <c r="C203" s="2" t="n">
        <v>4</v>
      </c>
      <c r="D203" s="2" t="inlineStr">
        <is>
          <t>2026-01-12 21:48:00</t>
        </is>
      </c>
      <c r="E203" s="2" t="n">
        <v>49</v>
      </c>
      <c r="F203" s="2" t="inlineStr">
        <is>
          <t>UPI</t>
        </is>
      </c>
      <c r="G203" s="2" t="inlineStr">
        <is>
          <t>captured</t>
        </is>
      </c>
      <c r="H203" s="2" t="n">
        <v>36</v>
      </c>
      <c r="I203" s="2">
        <f>IFERROR(VLOOKUP(C203,Merchants!$A$2:$D$41,2,FALSE),"Merchant not found")</f>
        <v/>
      </c>
      <c r="J203" s="2">
        <f>IFERROR(VLOOKUP(C203,Merchants!$A$2:$D$41,3,FALSE),"Merchant not found")</f>
        <v/>
      </c>
      <c r="K203" s="2">
        <f>IFERROR(VLOOKUP(C203,Merchants!$A$2:$D$41,4,FALSE),"Merchant not found")</f>
        <v/>
      </c>
      <c r="L203" s="2">
        <f>IFERROR(HLOOKUP(F203,Fee_Tiers!$B$4:$E$5,2,FALSE),0)</f>
        <v/>
      </c>
      <c r="M203" s="2">
        <f>IF(AND(E203&gt;500,K203&lt;&gt;"East"),"High-Value Merchant Day",IF(AND(E203&gt;500,K203="East"),"High-Value East (Excluded)",IF(E203&lt;=500,"Standard","Unknown")))</f>
        <v/>
      </c>
    </row>
    <row r="204">
      <c r="A204" s="2" t="inlineStr">
        <is>
          <t>TXN100202</t>
        </is>
      </c>
      <c r="B204" s="2" t="n">
        <v>54</v>
      </c>
      <c r="C204" s="2" t="n">
        <v>37</v>
      </c>
      <c r="D204" s="2" t="inlineStr">
        <is>
          <t>2026-01-20 09:22:00</t>
        </is>
      </c>
      <c r="E204" s="2" t="n">
        <v>149</v>
      </c>
      <c r="F204" s="2" t="inlineStr">
        <is>
          <t>UPI</t>
        </is>
      </c>
      <c r="G204" s="2" t="inlineStr">
        <is>
          <t>captured</t>
        </is>
      </c>
      <c r="H204" s="2" t="n">
        <v>64</v>
      </c>
      <c r="I204" s="2">
        <f>IFERROR(VLOOKUP(C204,Merchants!$A$2:$D$41,2,FALSE),"Merchant not found")</f>
        <v/>
      </c>
      <c r="J204" s="2">
        <f>IFERROR(VLOOKUP(C204,Merchants!$A$2:$D$41,3,FALSE),"Merchant not found")</f>
        <v/>
      </c>
      <c r="K204" s="2">
        <f>IFERROR(VLOOKUP(C204,Merchants!$A$2:$D$41,4,FALSE),"Merchant not found")</f>
        <v/>
      </c>
      <c r="L204" s="2">
        <f>IFERROR(HLOOKUP(F204,Fee_Tiers!$B$4:$E$5,2,FALSE),0)</f>
        <v/>
      </c>
      <c r="M204" s="2">
        <f>IF(AND(E204&gt;500,K204&lt;&gt;"East"),"High-Value Merchant Day",IF(AND(E204&gt;500,K204="East"),"High-Value East (Excluded)",IF(E204&lt;=500,"Standard","Unknown")))</f>
        <v/>
      </c>
    </row>
    <row r="205">
      <c r="A205" s="2" t="inlineStr">
        <is>
          <t>TXN100203</t>
        </is>
      </c>
      <c r="B205" s="2" t="n">
        <v>247</v>
      </c>
      <c r="C205" s="2" t="n">
        <v>15</v>
      </c>
      <c r="D205" s="2" t="inlineStr">
        <is>
          <t>2026-01-07 04:42:00</t>
        </is>
      </c>
      <c r="E205" s="2" t="n">
        <v>49</v>
      </c>
      <c r="F205" s="2" t="inlineStr">
        <is>
          <t>Card</t>
        </is>
      </c>
      <c r="G205" s="2" t="inlineStr">
        <is>
          <t>captured</t>
        </is>
      </c>
      <c r="H205" s="2" t="n">
        <v>13</v>
      </c>
      <c r="I205" s="2">
        <f>IFERROR(VLOOKUP(C205,Merchants!$A$2:$D$41,2,FALSE),"Merchant not found")</f>
        <v/>
      </c>
      <c r="J205" s="2">
        <f>IFERROR(VLOOKUP(C205,Merchants!$A$2:$D$41,3,FALSE),"Merchant not found")</f>
        <v/>
      </c>
      <c r="K205" s="2">
        <f>IFERROR(VLOOKUP(C205,Merchants!$A$2:$D$41,4,FALSE),"Merchant not found")</f>
        <v/>
      </c>
      <c r="L205" s="2">
        <f>IFERROR(HLOOKUP(F205,Fee_Tiers!$B$4:$E$5,2,FALSE),0)</f>
        <v/>
      </c>
      <c r="M205" s="2">
        <f>IF(AND(E205&gt;500,K205&lt;&gt;"East"),"High-Value Merchant Day",IF(AND(E205&gt;500,K205="East"),"High-Value East (Excluded)",IF(E205&lt;=500,"Standard","Unknown")))</f>
        <v/>
      </c>
    </row>
    <row r="206">
      <c r="A206" s="2" t="inlineStr">
        <is>
          <t>TXN100204</t>
        </is>
      </c>
      <c r="B206" s="2" t="n">
        <v>59</v>
      </c>
      <c r="C206" s="2" t="n">
        <v>18</v>
      </c>
      <c r="D206" s="2" t="inlineStr">
        <is>
          <t>2026-01-12 17:23:00</t>
        </is>
      </c>
      <c r="E206" s="2" t="n">
        <v>49</v>
      </c>
      <c r="F206" s="2" t="inlineStr">
        <is>
          <t>Card</t>
        </is>
      </c>
      <c r="G206" s="2" t="inlineStr">
        <is>
          <t>captured</t>
        </is>
      </c>
      <c r="H206" s="2" t="n">
        <v>73</v>
      </c>
      <c r="I206" s="2">
        <f>IFERROR(VLOOKUP(C206,Merchants!$A$2:$D$41,2,FALSE),"Merchant not found")</f>
        <v/>
      </c>
      <c r="J206" s="2">
        <f>IFERROR(VLOOKUP(C206,Merchants!$A$2:$D$41,3,FALSE),"Merchant not found")</f>
        <v/>
      </c>
      <c r="K206" s="2">
        <f>IFERROR(VLOOKUP(C206,Merchants!$A$2:$D$41,4,FALSE),"Merchant not found")</f>
        <v/>
      </c>
      <c r="L206" s="2">
        <f>IFERROR(HLOOKUP(F206,Fee_Tiers!$B$4:$E$5,2,FALSE),0)</f>
        <v/>
      </c>
      <c r="M206" s="2">
        <f>IF(AND(E206&gt;500,K206&lt;&gt;"East"),"High-Value Merchant Day",IF(AND(E206&gt;500,K206="East"),"High-Value East (Excluded)",IF(E206&lt;=500,"Standard","Unknown")))</f>
        <v/>
      </c>
    </row>
    <row r="207">
      <c r="A207" s="2" t="inlineStr">
        <is>
          <t>TXN100205</t>
        </is>
      </c>
      <c r="B207" s="2" t="n">
        <v>288</v>
      </c>
      <c r="C207" s="2" t="n">
        <v>40</v>
      </c>
      <c r="D207" s="2" t="inlineStr">
        <is>
          <t>2026-01-08 13:54:00</t>
        </is>
      </c>
      <c r="E207" s="2" t="n">
        <v>49</v>
      </c>
      <c r="F207" s="2" t="inlineStr">
        <is>
          <t>UPI</t>
        </is>
      </c>
      <c r="G207" s="2" t="inlineStr">
        <is>
          <t>failed</t>
        </is>
      </c>
      <c r="H207" s="2" t="n">
        <v>78</v>
      </c>
      <c r="I207" s="2">
        <f>IFERROR(VLOOKUP(C207,Merchants!$A$2:$D$41,2,FALSE),"Merchant not found")</f>
        <v/>
      </c>
      <c r="J207" s="2">
        <f>IFERROR(VLOOKUP(C207,Merchants!$A$2:$D$41,3,FALSE),"Merchant not found")</f>
        <v/>
      </c>
      <c r="K207" s="2">
        <f>IFERROR(VLOOKUP(C207,Merchants!$A$2:$D$41,4,FALSE),"Merchant not found")</f>
        <v/>
      </c>
      <c r="L207" s="2">
        <f>IFERROR(HLOOKUP(F207,Fee_Tiers!$B$4:$E$5,2,FALSE),0)</f>
        <v/>
      </c>
      <c r="M207" s="2">
        <f>IF(AND(E207&gt;500,K207&lt;&gt;"East"),"High-Value Merchant Day",IF(AND(E207&gt;500,K207="East"),"High-Value East (Excluded)",IF(E207&lt;=500,"Standard","Unknown")))</f>
        <v/>
      </c>
    </row>
    <row r="208">
      <c r="A208" s="2" t="inlineStr">
        <is>
          <t>TXN100206</t>
        </is>
      </c>
      <c r="B208" s="2" t="n">
        <v>14</v>
      </c>
      <c r="C208" s="2" t="n">
        <v>39</v>
      </c>
      <c r="D208" s="2" t="inlineStr">
        <is>
          <t>2026-01-22 20:35:00</t>
        </is>
      </c>
      <c r="E208" s="2" t="n">
        <v>799</v>
      </c>
      <c r="F208" s="2" t="inlineStr">
        <is>
          <t>UPI</t>
        </is>
      </c>
      <c r="G208" s="2" t="inlineStr">
        <is>
          <t>captured</t>
        </is>
      </c>
      <c r="H208" s="2" t="n">
        <v>84</v>
      </c>
      <c r="I208" s="2">
        <f>IFERROR(VLOOKUP(C208,Merchants!$A$2:$D$41,2,FALSE),"Merchant not found")</f>
        <v/>
      </c>
      <c r="J208" s="2">
        <f>IFERROR(VLOOKUP(C208,Merchants!$A$2:$D$41,3,FALSE),"Merchant not found")</f>
        <v/>
      </c>
      <c r="K208" s="2">
        <f>IFERROR(VLOOKUP(C208,Merchants!$A$2:$D$41,4,FALSE),"Merchant not found")</f>
        <v/>
      </c>
      <c r="L208" s="2">
        <f>IFERROR(HLOOKUP(F208,Fee_Tiers!$B$4:$E$5,2,FALSE),0)</f>
        <v/>
      </c>
      <c r="M208" s="2">
        <f>IF(AND(E208&gt;500,K208&lt;&gt;"East"),"High-Value Merchant Day",IF(AND(E208&gt;500,K208="East"),"High-Value East (Excluded)",IF(E208&lt;=500,"Standard","Unknown")))</f>
        <v/>
      </c>
    </row>
    <row r="209">
      <c r="A209" s="2" t="inlineStr">
        <is>
          <t>TXN100207</t>
        </is>
      </c>
      <c r="B209" s="2" t="n">
        <v>15</v>
      </c>
      <c r="C209" s="2" t="n">
        <v>12</v>
      </c>
      <c r="D209" s="2" t="inlineStr">
        <is>
          <t>2026-01-27 22:17:00</t>
        </is>
      </c>
      <c r="E209" s="2" t="n">
        <v>149</v>
      </c>
      <c r="F209" s="2" t="inlineStr">
        <is>
          <t>UPI</t>
        </is>
      </c>
      <c r="G209" s="2" t="inlineStr">
        <is>
          <t>captured</t>
        </is>
      </c>
      <c r="H209" s="2" t="n">
        <v>34</v>
      </c>
      <c r="I209" s="2">
        <f>IFERROR(VLOOKUP(C209,Merchants!$A$2:$D$41,2,FALSE),"Merchant not found")</f>
        <v/>
      </c>
      <c r="J209" s="2">
        <f>IFERROR(VLOOKUP(C209,Merchants!$A$2:$D$41,3,FALSE),"Merchant not found")</f>
        <v/>
      </c>
      <c r="K209" s="2">
        <f>IFERROR(VLOOKUP(C209,Merchants!$A$2:$D$41,4,FALSE),"Merchant not found")</f>
        <v/>
      </c>
      <c r="L209" s="2">
        <f>IFERROR(HLOOKUP(F209,Fee_Tiers!$B$4:$E$5,2,FALSE),0)</f>
        <v/>
      </c>
      <c r="M209" s="2">
        <f>IF(AND(E209&gt;500,K209&lt;&gt;"East"),"High-Value Merchant Day",IF(AND(E209&gt;500,K209="East"),"High-Value East (Excluded)",IF(E209&lt;=500,"Standard","Unknown")))</f>
        <v/>
      </c>
    </row>
    <row r="210">
      <c r="A210" s="2" t="inlineStr">
        <is>
          <t>TXN100208</t>
        </is>
      </c>
      <c r="B210" s="2" t="n">
        <v>174</v>
      </c>
      <c r="C210" s="2" t="n">
        <v>23</v>
      </c>
      <c r="D210" s="2" t="inlineStr">
        <is>
          <t>2026-01-23 09:58:00</t>
        </is>
      </c>
      <c r="E210" s="2" t="n">
        <v>149</v>
      </c>
      <c r="F210" s="2" t="inlineStr">
        <is>
          <t>UPI</t>
        </is>
      </c>
      <c r="G210" s="2" t="inlineStr">
        <is>
          <t>captured</t>
        </is>
      </c>
      <c r="H210" s="2" t="n">
        <v>0</v>
      </c>
      <c r="I210" s="2">
        <f>IFERROR(VLOOKUP(C210,Merchants!$A$2:$D$41,2,FALSE),"Merchant not found")</f>
        <v/>
      </c>
      <c r="J210" s="2">
        <f>IFERROR(VLOOKUP(C210,Merchants!$A$2:$D$41,3,FALSE),"Merchant not found")</f>
        <v/>
      </c>
      <c r="K210" s="2">
        <f>IFERROR(VLOOKUP(C210,Merchants!$A$2:$D$41,4,FALSE),"Merchant not found")</f>
        <v/>
      </c>
      <c r="L210" s="2">
        <f>IFERROR(HLOOKUP(F210,Fee_Tiers!$B$4:$E$5,2,FALSE),0)</f>
        <v/>
      </c>
      <c r="M210" s="2">
        <f>IF(AND(E210&gt;500,K210&lt;&gt;"East"),"High-Value Merchant Day",IF(AND(E210&gt;500,K210="East"),"High-Value East (Excluded)",IF(E210&lt;=500,"Standard","Unknown")))</f>
        <v/>
      </c>
    </row>
    <row r="211">
      <c r="A211" s="2" t="inlineStr">
        <is>
          <t>TXN100209</t>
        </is>
      </c>
      <c r="B211" s="2" t="n">
        <v>337</v>
      </c>
      <c r="C211" s="2" t="n">
        <v>26</v>
      </c>
      <c r="D211" s="2" t="inlineStr">
        <is>
          <t>2026-01-06 04:36:00</t>
        </is>
      </c>
      <c r="E211" s="2" t="n">
        <v>49</v>
      </c>
      <c r="F211" s="2" t="inlineStr">
        <is>
          <t>UPI</t>
        </is>
      </c>
      <c r="G211" s="2" t="inlineStr">
        <is>
          <t>captured</t>
        </is>
      </c>
      <c r="H211" s="2" t="n">
        <v>8</v>
      </c>
      <c r="I211" s="2">
        <f>IFERROR(VLOOKUP(C211,Merchants!$A$2:$D$41,2,FALSE),"Merchant not found")</f>
        <v/>
      </c>
      <c r="J211" s="2">
        <f>IFERROR(VLOOKUP(C211,Merchants!$A$2:$D$41,3,FALSE),"Merchant not found")</f>
        <v/>
      </c>
      <c r="K211" s="2">
        <f>IFERROR(VLOOKUP(C211,Merchants!$A$2:$D$41,4,FALSE),"Merchant not found")</f>
        <v/>
      </c>
      <c r="L211" s="2">
        <f>IFERROR(HLOOKUP(F211,Fee_Tiers!$B$4:$E$5,2,FALSE),0)</f>
        <v/>
      </c>
      <c r="M211" s="2">
        <f>IF(AND(E211&gt;500,K211&lt;&gt;"East"),"High-Value Merchant Day",IF(AND(E211&gt;500,K211="East"),"High-Value East (Excluded)",IF(E211&lt;=500,"Standard","Unknown")))</f>
        <v/>
      </c>
    </row>
    <row r="212">
      <c r="A212" s="2" t="inlineStr">
        <is>
          <t>TXN100210</t>
        </is>
      </c>
      <c r="B212" s="2" t="n">
        <v>16</v>
      </c>
      <c r="C212" s="2" t="n">
        <v>6</v>
      </c>
      <c r="D212" s="2" t="inlineStr">
        <is>
          <t>2026-01-05 23:40:00</t>
        </is>
      </c>
      <c r="E212" s="2" t="n">
        <v>1499</v>
      </c>
      <c r="F212" s="2" t="inlineStr">
        <is>
          <t>UPI</t>
        </is>
      </c>
      <c r="G212" s="2" t="inlineStr">
        <is>
          <t>captured</t>
        </is>
      </c>
      <c r="H212" s="2" t="n">
        <v>95</v>
      </c>
      <c r="I212" s="2">
        <f>IFERROR(VLOOKUP(C212,Merchants!$A$2:$D$41,2,FALSE),"Merchant not found")</f>
        <v/>
      </c>
      <c r="J212" s="2">
        <f>IFERROR(VLOOKUP(C212,Merchants!$A$2:$D$41,3,FALSE),"Merchant not found")</f>
        <v/>
      </c>
      <c r="K212" s="2">
        <f>IFERROR(VLOOKUP(C212,Merchants!$A$2:$D$41,4,FALSE),"Merchant not found")</f>
        <v/>
      </c>
      <c r="L212" s="2">
        <f>IFERROR(HLOOKUP(F212,Fee_Tiers!$B$4:$E$5,2,FALSE),0)</f>
        <v/>
      </c>
      <c r="M212" s="2">
        <f>IF(AND(E212&gt;500,K212&lt;&gt;"East"),"High-Value Merchant Day",IF(AND(E212&gt;500,K212="East"),"High-Value East (Excluded)",IF(E212&lt;=500,"Standard","Unknown")))</f>
        <v/>
      </c>
    </row>
    <row r="213">
      <c r="A213" s="2" t="inlineStr">
        <is>
          <t>TXN100211</t>
        </is>
      </c>
      <c r="B213" s="2" t="n">
        <v>215</v>
      </c>
      <c r="C213" s="2" t="n">
        <v>30</v>
      </c>
      <c r="D213" s="2" t="inlineStr">
        <is>
          <t>2026-01-17 06:24:00</t>
        </is>
      </c>
      <c r="E213" s="2" t="n">
        <v>49</v>
      </c>
      <c r="F213" s="2" t="inlineStr">
        <is>
          <t>UPI</t>
        </is>
      </c>
      <c r="G213" s="2" t="inlineStr">
        <is>
          <t>captured</t>
        </is>
      </c>
      <c r="H213" s="2" t="n">
        <v>43</v>
      </c>
      <c r="I213" s="2">
        <f>IFERROR(VLOOKUP(C213,Merchants!$A$2:$D$41,2,FALSE),"Merchant not found")</f>
        <v/>
      </c>
      <c r="J213" s="2">
        <f>IFERROR(VLOOKUP(C213,Merchants!$A$2:$D$41,3,FALSE),"Merchant not found")</f>
        <v/>
      </c>
      <c r="K213" s="2">
        <f>IFERROR(VLOOKUP(C213,Merchants!$A$2:$D$41,4,FALSE),"Merchant not found")</f>
        <v/>
      </c>
      <c r="L213" s="2">
        <f>IFERROR(HLOOKUP(F213,Fee_Tiers!$B$4:$E$5,2,FALSE),0)</f>
        <v/>
      </c>
      <c r="M213" s="2">
        <f>IF(AND(E213&gt;500,K213&lt;&gt;"East"),"High-Value Merchant Day",IF(AND(E213&gt;500,K213="East"),"High-Value East (Excluded)",IF(E213&lt;=500,"Standard","Unknown")))</f>
        <v/>
      </c>
    </row>
    <row r="214">
      <c r="A214" s="2" t="inlineStr">
        <is>
          <t>TXN100212</t>
        </is>
      </c>
      <c r="B214" s="2" t="n">
        <v>167</v>
      </c>
      <c r="C214" s="2" t="n">
        <v>37</v>
      </c>
      <c r="D214" s="2" t="inlineStr">
        <is>
          <t>2026-01-06 11:19:00</t>
        </is>
      </c>
      <c r="E214" s="2" t="n">
        <v>99</v>
      </c>
      <c r="F214" s="2" t="inlineStr">
        <is>
          <t>UPI</t>
        </is>
      </c>
      <c r="G214" s="2" t="inlineStr">
        <is>
          <t>captured</t>
        </is>
      </c>
      <c r="H214" s="2" t="n">
        <v>76</v>
      </c>
      <c r="I214" s="2">
        <f>IFERROR(VLOOKUP(C214,Merchants!$A$2:$D$41,2,FALSE),"Merchant not found")</f>
        <v/>
      </c>
      <c r="J214" s="2">
        <f>IFERROR(VLOOKUP(C214,Merchants!$A$2:$D$41,3,FALSE),"Merchant not found")</f>
        <v/>
      </c>
      <c r="K214" s="2">
        <f>IFERROR(VLOOKUP(C214,Merchants!$A$2:$D$41,4,FALSE),"Merchant not found")</f>
        <v/>
      </c>
      <c r="L214" s="2">
        <f>IFERROR(HLOOKUP(F214,Fee_Tiers!$B$4:$E$5,2,FALSE),0)</f>
        <v/>
      </c>
      <c r="M214" s="2">
        <f>IF(AND(E214&gt;500,K214&lt;&gt;"East"),"High-Value Merchant Day",IF(AND(E214&gt;500,K214="East"),"High-Value East (Excluded)",IF(E214&lt;=500,"Standard","Unknown")))</f>
        <v/>
      </c>
    </row>
    <row r="215">
      <c r="A215" s="2" t="inlineStr">
        <is>
          <t>TXN100213</t>
        </is>
      </c>
      <c r="B215" s="2" t="n">
        <v>81</v>
      </c>
      <c r="C215" s="2" t="n">
        <v>40</v>
      </c>
      <c r="D215" s="2" t="inlineStr">
        <is>
          <t>2026-01-03 01:09:00</t>
        </is>
      </c>
      <c r="E215" s="2" t="n">
        <v>49</v>
      </c>
      <c r="F215" s="2" t="inlineStr">
        <is>
          <t>UPI</t>
        </is>
      </c>
      <c r="G215" s="2" t="inlineStr">
        <is>
          <t>captured</t>
        </is>
      </c>
      <c r="H215" s="2" t="n">
        <v>6</v>
      </c>
      <c r="I215" s="2">
        <f>IFERROR(VLOOKUP(C215,Merchants!$A$2:$D$41,2,FALSE),"Merchant not found")</f>
        <v/>
      </c>
      <c r="J215" s="2">
        <f>IFERROR(VLOOKUP(C215,Merchants!$A$2:$D$41,3,FALSE),"Merchant not found")</f>
        <v/>
      </c>
      <c r="K215" s="2">
        <f>IFERROR(VLOOKUP(C215,Merchants!$A$2:$D$41,4,FALSE),"Merchant not found")</f>
        <v/>
      </c>
      <c r="L215" s="2">
        <f>IFERROR(HLOOKUP(F215,Fee_Tiers!$B$4:$E$5,2,FALSE),0)</f>
        <v/>
      </c>
      <c r="M215" s="2">
        <f>IF(AND(E215&gt;500,K215&lt;&gt;"East"),"High-Value Merchant Day",IF(AND(E215&gt;500,K215="East"),"High-Value East (Excluded)",IF(E215&lt;=500,"Standard","Unknown")))</f>
        <v/>
      </c>
    </row>
    <row r="216">
      <c r="A216" s="2" t="inlineStr">
        <is>
          <t>TXN100214</t>
        </is>
      </c>
      <c r="B216" s="2" t="n">
        <v>227</v>
      </c>
      <c r="C216" s="2" t="n">
        <v>28</v>
      </c>
      <c r="D216" s="2" t="inlineStr">
        <is>
          <t>2026-01-22 02:17:00</t>
        </is>
      </c>
      <c r="E216" s="2" t="n">
        <v>99</v>
      </c>
      <c r="F216" s="2" t="inlineStr">
        <is>
          <t>UPI</t>
        </is>
      </c>
      <c r="G216" s="2" t="inlineStr">
        <is>
          <t>captured</t>
        </is>
      </c>
      <c r="H216" s="2" t="n">
        <v>62</v>
      </c>
      <c r="I216" s="2">
        <f>IFERROR(VLOOKUP(C216,Merchants!$A$2:$D$41,2,FALSE),"Merchant not found")</f>
        <v/>
      </c>
      <c r="J216" s="2">
        <f>IFERROR(VLOOKUP(C216,Merchants!$A$2:$D$41,3,FALSE),"Merchant not found")</f>
        <v/>
      </c>
      <c r="K216" s="2">
        <f>IFERROR(VLOOKUP(C216,Merchants!$A$2:$D$41,4,FALSE),"Merchant not found")</f>
        <v/>
      </c>
      <c r="L216" s="2">
        <f>IFERROR(HLOOKUP(F216,Fee_Tiers!$B$4:$E$5,2,FALSE),0)</f>
        <v/>
      </c>
      <c r="M216" s="2">
        <f>IF(AND(E216&gt;500,K216&lt;&gt;"East"),"High-Value Merchant Day",IF(AND(E216&gt;500,K216="East"),"High-Value East (Excluded)",IF(E216&lt;=500,"Standard","Unknown")))</f>
        <v/>
      </c>
    </row>
    <row r="217">
      <c r="A217" s="2" t="inlineStr">
        <is>
          <t>TXN100215</t>
        </is>
      </c>
      <c r="B217" s="2" t="n">
        <v>140</v>
      </c>
      <c r="C217" s="2" t="n">
        <v>14</v>
      </c>
      <c r="D217" s="2" t="inlineStr">
        <is>
          <t>2026-01-20 14:26:00</t>
        </is>
      </c>
      <c r="E217" s="2" t="n">
        <v>299</v>
      </c>
      <c r="F217" s="2" t="inlineStr">
        <is>
          <t>Wallet</t>
        </is>
      </c>
      <c r="G217" s="2" t="inlineStr">
        <is>
          <t>captured</t>
        </is>
      </c>
      <c r="H217" s="2" t="n">
        <v>96</v>
      </c>
      <c r="I217" s="2">
        <f>IFERROR(VLOOKUP(C217,Merchants!$A$2:$D$41,2,FALSE),"Merchant not found")</f>
        <v/>
      </c>
      <c r="J217" s="2">
        <f>IFERROR(VLOOKUP(C217,Merchants!$A$2:$D$41,3,FALSE),"Merchant not found")</f>
        <v/>
      </c>
      <c r="K217" s="2">
        <f>IFERROR(VLOOKUP(C217,Merchants!$A$2:$D$41,4,FALSE),"Merchant not found")</f>
        <v/>
      </c>
      <c r="L217" s="2">
        <f>IFERROR(HLOOKUP(F217,Fee_Tiers!$B$4:$E$5,2,FALSE),0)</f>
        <v/>
      </c>
      <c r="M217" s="2">
        <f>IF(AND(E217&gt;500,K217&lt;&gt;"East"),"High-Value Merchant Day",IF(AND(E217&gt;500,K217="East"),"High-Value East (Excluded)",IF(E217&lt;=500,"Standard","Unknown")))</f>
        <v/>
      </c>
    </row>
    <row r="218">
      <c r="A218" s="2" t="inlineStr">
        <is>
          <t>TXN100216</t>
        </is>
      </c>
      <c r="B218" s="2" t="n">
        <v>221</v>
      </c>
      <c r="C218" s="2" t="n">
        <v>8</v>
      </c>
      <c r="D218" s="2" t="inlineStr">
        <is>
          <t>2026-01-17 03:22:00</t>
        </is>
      </c>
      <c r="E218" s="2" t="n">
        <v>299</v>
      </c>
      <c r="F218" s="2" t="inlineStr">
        <is>
          <t>UPI</t>
        </is>
      </c>
      <c r="G218" s="2" t="inlineStr">
        <is>
          <t>captured</t>
        </is>
      </c>
      <c r="H218" s="2" t="n">
        <v>36</v>
      </c>
      <c r="I218" s="2">
        <f>IFERROR(VLOOKUP(C218,Merchants!$A$2:$D$41,2,FALSE),"Merchant not found")</f>
        <v/>
      </c>
      <c r="J218" s="2">
        <f>IFERROR(VLOOKUP(C218,Merchants!$A$2:$D$41,3,FALSE),"Merchant not found")</f>
        <v/>
      </c>
      <c r="K218" s="2">
        <f>IFERROR(VLOOKUP(C218,Merchants!$A$2:$D$41,4,FALSE),"Merchant not found")</f>
        <v/>
      </c>
      <c r="L218" s="2">
        <f>IFERROR(HLOOKUP(F218,Fee_Tiers!$B$4:$E$5,2,FALSE),0)</f>
        <v/>
      </c>
      <c r="M218" s="2">
        <f>IF(AND(E218&gt;500,K218&lt;&gt;"East"),"High-Value Merchant Day",IF(AND(E218&gt;500,K218="East"),"High-Value East (Excluded)",IF(E218&lt;=500,"Standard","Unknown")))</f>
        <v/>
      </c>
    </row>
    <row r="219">
      <c r="A219" s="2" t="inlineStr">
        <is>
          <t>TXN100217</t>
        </is>
      </c>
      <c r="B219" s="2" t="n">
        <v>250</v>
      </c>
      <c r="C219" s="2" t="n">
        <v>34</v>
      </c>
      <c r="D219" s="2" t="inlineStr">
        <is>
          <t>2026-01-22 21:37:00</t>
        </is>
      </c>
      <c r="E219" s="2" t="n">
        <v>299</v>
      </c>
      <c r="F219" s="2" t="inlineStr">
        <is>
          <t>Wallet</t>
        </is>
      </c>
      <c r="G219" s="2" t="inlineStr">
        <is>
          <t>captured</t>
        </is>
      </c>
      <c r="H219" s="2" t="n">
        <v>85</v>
      </c>
      <c r="I219" s="2">
        <f>IFERROR(VLOOKUP(C219,Merchants!$A$2:$D$41,2,FALSE),"Merchant not found")</f>
        <v/>
      </c>
      <c r="J219" s="2">
        <f>IFERROR(VLOOKUP(C219,Merchants!$A$2:$D$41,3,FALSE),"Merchant not found")</f>
        <v/>
      </c>
      <c r="K219" s="2">
        <f>IFERROR(VLOOKUP(C219,Merchants!$A$2:$D$41,4,FALSE),"Merchant not found")</f>
        <v/>
      </c>
      <c r="L219" s="2">
        <f>IFERROR(HLOOKUP(F219,Fee_Tiers!$B$4:$E$5,2,FALSE),0)</f>
        <v/>
      </c>
      <c r="M219" s="2">
        <f>IF(AND(E219&gt;500,K219&lt;&gt;"East"),"High-Value Merchant Day",IF(AND(E219&gt;500,K219="East"),"High-Value East (Excluded)",IF(E219&lt;=500,"Standard","Unknown")))</f>
        <v/>
      </c>
    </row>
    <row r="220">
      <c r="A220" s="2" t="inlineStr">
        <is>
          <t>TXN100218</t>
        </is>
      </c>
      <c r="B220" s="2" t="n">
        <v>203</v>
      </c>
      <c r="C220" s="2" t="n">
        <v>39</v>
      </c>
      <c r="D220" s="2" t="inlineStr">
        <is>
          <t>2026-01-10 01:14:00</t>
        </is>
      </c>
      <c r="E220" s="2" t="n">
        <v>49</v>
      </c>
      <c r="F220" s="2" t="inlineStr">
        <is>
          <t>UPI</t>
        </is>
      </c>
      <c r="G220" s="2" t="inlineStr">
        <is>
          <t>captured</t>
        </is>
      </c>
      <c r="H220" s="2" t="n">
        <v>7</v>
      </c>
      <c r="I220" s="2">
        <f>IFERROR(VLOOKUP(C220,Merchants!$A$2:$D$41,2,FALSE),"Merchant not found")</f>
        <v/>
      </c>
      <c r="J220" s="2">
        <f>IFERROR(VLOOKUP(C220,Merchants!$A$2:$D$41,3,FALSE),"Merchant not found")</f>
        <v/>
      </c>
      <c r="K220" s="2">
        <f>IFERROR(VLOOKUP(C220,Merchants!$A$2:$D$41,4,FALSE),"Merchant not found")</f>
        <v/>
      </c>
      <c r="L220" s="2">
        <f>IFERROR(HLOOKUP(F220,Fee_Tiers!$B$4:$E$5,2,FALSE),0)</f>
        <v/>
      </c>
      <c r="M220" s="2">
        <f>IF(AND(E220&gt;500,K220&lt;&gt;"East"),"High-Value Merchant Day",IF(AND(E220&gt;500,K220="East"),"High-Value East (Excluded)",IF(E220&lt;=500,"Standard","Unknown")))</f>
        <v/>
      </c>
    </row>
    <row r="221">
      <c r="A221" s="2" t="inlineStr">
        <is>
          <t>TXN100219</t>
        </is>
      </c>
      <c r="B221" s="2" t="n">
        <v>109</v>
      </c>
      <c r="C221" s="2" t="n">
        <v>9</v>
      </c>
      <c r="D221" s="2" t="inlineStr">
        <is>
          <t>2026-01-01 06:19:00</t>
        </is>
      </c>
      <c r="E221" s="2" t="n">
        <v>499</v>
      </c>
      <c r="F221" s="2" t="inlineStr">
        <is>
          <t>Wallet</t>
        </is>
      </c>
      <c r="G221" s="2" t="inlineStr">
        <is>
          <t>captured</t>
        </is>
      </c>
      <c r="H221" s="2" t="n">
        <v>97</v>
      </c>
      <c r="I221" s="2">
        <f>IFERROR(VLOOKUP(C221,Merchants!$A$2:$D$41,2,FALSE),"Merchant not found")</f>
        <v/>
      </c>
      <c r="J221" s="2">
        <f>IFERROR(VLOOKUP(C221,Merchants!$A$2:$D$41,3,FALSE),"Merchant not found")</f>
        <v/>
      </c>
      <c r="K221" s="2">
        <f>IFERROR(VLOOKUP(C221,Merchants!$A$2:$D$41,4,FALSE),"Merchant not found")</f>
        <v/>
      </c>
      <c r="L221" s="2">
        <f>IFERROR(HLOOKUP(F221,Fee_Tiers!$B$4:$E$5,2,FALSE),0)</f>
        <v/>
      </c>
      <c r="M221" s="2">
        <f>IF(AND(E221&gt;500,K221&lt;&gt;"East"),"High-Value Merchant Day",IF(AND(E221&gt;500,K221="East"),"High-Value East (Excluded)",IF(E221&lt;=500,"Standard","Unknown")))</f>
        <v/>
      </c>
    </row>
    <row r="222">
      <c r="A222" s="2" t="inlineStr">
        <is>
          <t>TXN100220</t>
        </is>
      </c>
      <c r="B222" s="2" t="n">
        <v>62</v>
      </c>
      <c r="C222" s="2" t="n">
        <v>1</v>
      </c>
      <c r="D222" s="2" t="inlineStr">
        <is>
          <t>2026-01-09 09:20:00</t>
        </is>
      </c>
      <c r="E222" s="2" t="n">
        <v>4999</v>
      </c>
      <c r="F222" s="2" t="inlineStr">
        <is>
          <t>Wallet</t>
        </is>
      </c>
      <c r="G222" s="2" t="inlineStr">
        <is>
          <t>captured</t>
        </is>
      </c>
      <c r="H222" s="2" t="n">
        <v>63</v>
      </c>
      <c r="I222" s="2">
        <f>IFERROR(VLOOKUP(C222,Merchants!$A$2:$D$41,2,FALSE),"Merchant not found")</f>
        <v/>
      </c>
      <c r="J222" s="2">
        <f>IFERROR(VLOOKUP(C222,Merchants!$A$2:$D$41,3,FALSE),"Merchant not found")</f>
        <v/>
      </c>
      <c r="K222" s="2">
        <f>IFERROR(VLOOKUP(C222,Merchants!$A$2:$D$41,4,FALSE),"Merchant not found")</f>
        <v/>
      </c>
      <c r="L222" s="2">
        <f>IFERROR(HLOOKUP(F222,Fee_Tiers!$B$4:$E$5,2,FALSE),0)</f>
        <v/>
      </c>
      <c r="M222" s="2">
        <f>IF(AND(E222&gt;500,K222&lt;&gt;"East"),"High-Value Merchant Day",IF(AND(E222&gt;500,K222="East"),"High-Value East (Excluded)",IF(E222&lt;=500,"Standard","Unknown")))</f>
        <v/>
      </c>
    </row>
    <row r="223">
      <c r="A223" s="2" t="inlineStr">
        <is>
          <t>TXN100221</t>
        </is>
      </c>
      <c r="B223" s="2" t="n">
        <v>67</v>
      </c>
      <c r="C223" s="2" t="n">
        <v>25</v>
      </c>
      <c r="D223" s="2" t="inlineStr">
        <is>
          <t>2026-01-24 13:11:00</t>
        </is>
      </c>
      <c r="E223" s="2" t="n">
        <v>49</v>
      </c>
      <c r="F223" s="2" t="inlineStr">
        <is>
          <t>UPI</t>
        </is>
      </c>
      <c r="G223" s="2" t="inlineStr">
        <is>
          <t>captured</t>
        </is>
      </c>
      <c r="H223" s="2" t="n">
        <v>68</v>
      </c>
      <c r="I223" s="2">
        <f>IFERROR(VLOOKUP(C223,Merchants!$A$2:$D$41,2,FALSE),"Merchant not found")</f>
        <v/>
      </c>
      <c r="J223" s="2">
        <f>IFERROR(VLOOKUP(C223,Merchants!$A$2:$D$41,3,FALSE),"Merchant not found")</f>
        <v/>
      </c>
      <c r="K223" s="2">
        <f>IFERROR(VLOOKUP(C223,Merchants!$A$2:$D$41,4,FALSE),"Merchant not found")</f>
        <v/>
      </c>
      <c r="L223" s="2">
        <f>IFERROR(HLOOKUP(F223,Fee_Tiers!$B$4:$E$5,2,FALSE),0)</f>
        <v/>
      </c>
      <c r="M223" s="2">
        <f>IF(AND(E223&gt;500,K223&lt;&gt;"East"),"High-Value Merchant Day",IF(AND(E223&gt;500,K223="East"),"High-Value East (Excluded)",IF(E223&lt;=500,"Standard","Unknown")))</f>
        <v/>
      </c>
    </row>
    <row r="224">
      <c r="A224" s="2" t="inlineStr">
        <is>
          <t>TXN100222</t>
        </is>
      </c>
      <c r="B224" s="2" t="n">
        <v>287</v>
      </c>
      <c r="C224" s="2" t="n">
        <v>23</v>
      </c>
      <c r="D224" s="2" t="inlineStr">
        <is>
          <t>2026-01-23 07:32:00</t>
        </is>
      </c>
      <c r="E224" s="2" t="n">
        <v>49</v>
      </c>
      <c r="F224" s="2" t="inlineStr">
        <is>
          <t>UPI</t>
        </is>
      </c>
      <c r="G224" s="2" t="inlineStr">
        <is>
          <t>captured</t>
        </is>
      </c>
      <c r="H224" s="2" t="n">
        <v>9</v>
      </c>
      <c r="I224" s="2">
        <f>IFERROR(VLOOKUP(C224,Merchants!$A$2:$D$41,2,FALSE),"Merchant not found")</f>
        <v/>
      </c>
      <c r="J224" s="2">
        <f>IFERROR(VLOOKUP(C224,Merchants!$A$2:$D$41,3,FALSE),"Merchant not found")</f>
        <v/>
      </c>
      <c r="K224" s="2">
        <f>IFERROR(VLOOKUP(C224,Merchants!$A$2:$D$41,4,FALSE),"Merchant not found")</f>
        <v/>
      </c>
      <c r="L224" s="2">
        <f>IFERROR(HLOOKUP(F224,Fee_Tiers!$B$4:$E$5,2,FALSE),0)</f>
        <v/>
      </c>
      <c r="M224" s="2">
        <f>IF(AND(E224&gt;500,K224&lt;&gt;"East"),"High-Value Merchant Day",IF(AND(E224&gt;500,K224="East"),"High-Value East (Excluded)",IF(E224&lt;=500,"Standard","Unknown")))</f>
        <v/>
      </c>
    </row>
    <row r="225">
      <c r="A225" s="2" t="inlineStr">
        <is>
          <t>TXN100223</t>
        </is>
      </c>
      <c r="B225" s="2" t="n">
        <v>224</v>
      </c>
      <c r="C225" s="2" t="n">
        <v>2</v>
      </c>
      <c r="D225" s="2" t="inlineStr">
        <is>
          <t>2026-01-13 23:02:00</t>
        </is>
      </c>
      <c r="E225" s="2" t="n">
        <v>49</v>
      </c>
      <c r="F225" s="2" t="inlineStr">
        <is>
          <t>Card</t>
        </is>
      </c>
      <c r="G225" s="2" t="inlineStr">
        <is>
          <t>captured</t>
        </is>
      </c>
      <c r="H225" s="2" t="n">
        <v>58</v>
      </c>
      <c r="I225" s="2">
        <f>IFERROR(VLOOKUP(C225,Merchants!$A$2:$D$41,2,FALSE),"Merchant not found")</f>
        <v/>
      </c>
      <c r="J225" s="2">
        <f>IFERROR(VLOOKUP(C225,Merchants!$A$2:$D$41,3,FALSE),"Merchant not found")</f>
        <v/>
      </c>
      <c r="K225" s="2">
        <f>IFERROR(VLOOKUP(C225,Merchants!$A$2:$D$41,4,FALSE),"Merchant not found")</f>
        <v/>
      </c>
      <c r="L225" s="2">
        <f>IFERROR(HLOOKUP(F225,Fee_Tiers!$B$4:$E$5,2,FALSE),0)</f>
        <v/>
      </c>
      <c r="M225" s="2">
        <f>IF(AND(E225&gt;500,K225&lt;&gt;"East"),"High-Value Merchant Day",IF(AND(E225&gt;500,K225="East"),"High-Value East (Excluded)",IF(E225&lt;=500,"Standard","Unknown")))</f>
        <v/>
      </c>
    </row>
    <row r="226">
      <c r="A226" s="2" t="inlineStr">
        <is>
          <t>TXN100224</t>
        </is>
      </c>
      <c r="B226" s="2" t="n">
        <v>161</v>
      </c>
      <c r="C226" s="2" t="n">
        <v>37</v>
      </c>
      <c r="D226" s="2" t="inlineStr">
        <is>
          <t>2026-01-30 02:55:00</t>
        </is>
      </c>
      <c r="E226" s="2" t="n">
        <v>299</v>
      </c>
      <c r="F226" s="2" t="inlineStr">
        <is>
          <t>UPI</t>
        </is>
      </c>
      <c r="G226" s="2" t="inlineStr">
        <is>
          <t>captured</t>
        </is>
      </c>
      <c r="H226" s="2" t="n">
        <v>54</v>
      </c>
      <c r="I226" s="2">
        <f>IFERROR(VLOOKUP(C226,Merchants!$A$2:$D$41,2,FALSE),"Merchant not found")</f>
        <v/>
      </c>
      <c r="J226" s="2">
        <f>IFERROR(VLOOKUP(C226,Merchants!$A$2:$D$41,3,FALSE),"Merchant not found")</f>
        <v/>
      </c>
      <c r="K226" s="2">
        <f>IFERROR(VLOOKUP(C226,Merchants!$A$2:$D$41,4,FALSE),"Merchant not found")</f>
        <v/>
      </c>
      <c r="L226" s="2">
        <f>IFERROR(HLOOKUP(F226,Fee_Tiers!$B$4:$E$5,2,FALSE),0)</f>
        <v/>
      </c>
      <c r="M226" s="2">
        <f>IF(AND(E226&gt;500,K226&lt;&gt;"East"),"High-Value Merchant Day",IF(AND(E226&gt;500,K226="East"),"High-Value East (Excluded)",IF(E226&lt;=500,"Standard","Unknown")))</f>
        <v/>
      </c>
    </row>
    <row r="227">
      <c r="A227" s="2" t="inlineStr">
        <is>
          <t>TXN100225</t>
        </is>
      </c>
      <c r="B227" s="2" t="n">
        <v>328</v>
      </c>
      <c r="C227" s="2" t="n">
        <v>27</v>
      </c>
      <c r="D227" s="2" t="inlineStr">
        <is>
          <t>2026-01-19 12:45:00</t>
        </is>
      </c>
      <c r="E227" s="2" t="n">
        <v>49</v>
      </c>
      <c r="F227" s="2" t="inlineStr">
        <is>
          <t>UPI</t>
        </is>
      </c>
      <c r="G227" s="2" t="inlineStr">
        <is>
          <t>chargeback</t>
        </is>
      </c>
      <c r="H227" s="2" t="n">
        <v>37</v>
      </c>
      <c r="I227" s="2">
        <f>IFERROR(VLOOKUP(C227,Merchants!$A$2:$D$41,2,FALSE),"Merchant not found")</f>
        <v/>
      </c>
      <c r="J227" s="2">
        <f>IFERROR(VLOOKUP(C227,Merchants!$A$2:$D$41,3,FALSE),"Merchant not found")</f>
        <v/>
      </c>
      <c r="K227" s="2">
        <f>IFERROR(VLOOKUP(C227,Merchants!$A$2:$D$41,4,FALSE),"Merchant not found")</f>
        <v/>
      </c>
      <c r="L227" s="2">
        <f>IFERROR(HLOOKUP(F227,Fee_Tiers!$B$4:$E$5,2,FALSE),0)</f>
        <v/>
      </c>
      <c r="M227" s="2">
        <f>IF(AND(E227&gt;500,K227&lt;&gt;"East"),"High-Value Merchant Day",IF(AND(E227&gt;500,K227="East"),"High-Value East (Excluded)",IF(E227&lt;=500,"Standard","Unknown")))</f>
        <v/>
      </c>
    </row>
    <row r="228">
      <c r="A228" s="2" t="inlineStr">
        <is>
          <t>TXN100226</t>
        </is>
      </c>
      <c r="B228" s="2" t="n">
        <v>167</v>
      </c>
      <c r="C228" s="2" t="n">
        <v>11</v>
      </c>
      <c r="D228" s="2" t="inlineStr">
        <is>
          <t>2026-01-04 12:01:00</t>
        </is>
      </c>
      <c r="E228" s="2" t="n">
        <v>1499</v>
      </c>
      <c r="F228" s="2" t="inlineStr">
        <is>
          <t>Card</t>
        </is>
      </c>
      <c r="G228" s="2" t="inlineStr">
        <is>
          <t>failed</t>
        </is>
      </c>
      <c r="H228" s="2" t="n">
        <v>79</v>
      </c>
      <c r="I228" s="2">
        <f>IFERROR(VLOOKUP(C228,Merchants!$A$2:$D$41,2,FALSE),"Merchant not found")</f>
        <v/>
      </c>
      <c r="J228" s="2">
        <f>IFERROR(VLOOKUP(C228,Merchants!$A$2:$D$41,3,FALSE),"Merchant not found")</f>
        <v/>
      </c>
      <c r="K228" s="2">
        <f>IFERROR(VLOOKUP(C228,Merchants!$A$2:$D$41,4,FALSE),"Merchant not found")</f>
        <v/>
      </c>
      <c r="L228" s="2">
        <f>IFERROR(HLOOKUP(F228,Fee_Tiers!$B$4:$E$5,2,FALSE),0)</f>
        <v/>
      </c>
      <c r="M228" s="2">
        <f>IF(AND(E228&gt;500,K228&lt;&gt;"East"),"High-Value Merchant Day",IF(AND(E228&gt;500,K228="East"),"High-Value East (Excluded)",IF(E228&lt;=500,"Standard","Unknown")))</f>
        <v/>
      </c>
    </row>
    <row r="229">
      <c r="A229" s="2" t="inlineStr">
        <is>
          <t>TXN100227</t>
        </is>
      </c>
      <c r="B229" s="2" t="n">
        <v>186</v>
      </c>
      <c r="C229" s="2" t="n">
        <v>6</v>
      </c>
      <c r="D229" s="2" t="inlineStr">
        <is>
          <t>2026-01-15 22:58:00</t>
        </is>
      </c>
      <c r="E229" s="2" t="n">
        <v>49</v>
      </c>
      <c r="F229" s="2" t="inlineStr">
        <is>
          <t>Wallet</t>
        </is>
      </c>
      <c r="G229" s="2" t="inlineStr">
        <is>
          <t>captured</t>
        </is>
      </c>
      <c r="H229" s="2" t="n">
        <v>55</v>
      </c>
      <c r="I229" s="2">
        <f>IFERROR(VLOOKUP(C229,Merchants!$A$2:$D$41,2,FALSE),"Merchant not found")</f>
        <v/>
      </c>
      <c r="J229" s="2">
        <f>IFERROR(VLOOKUP(C229,Merchants!$A$2:$D$41,3,FALSE),"Merchant not found")</f>
        <v/>
      </c>
      <c r="K229" s="2">
        <f>IFERROR(VLOOKUP(C229,Merchants!$A$2:$D$41,4,FALSE),"Merchant not found")</f>
        <v/>
      </c>
      <c r="L229" s="2">
        <f>IFERROR(HLOOKUP(F229,Fee_Tiers!$B$4:$E$5,2,FALSE),0)</f>
        <v/>
      </c>
      <c r="M229" s="2">
        <f>IF(AND(E229&gt;500,K229&lt;&gt;"East"),"High-Value Merchant Day",IF(AND(E229&gt;500,K229="East"),"High-Value East (Excluded)",IF(E229&lt;=500,"Standard","Unknown")))</f>
        <v/>
      </c>
    </row>
    <row r="230">
      <c r="A230" s="2" t="inlineStr">
        <is>
          <t>TXN100228</t>
        </is>
      </c>
      <c r="B230" s="2" t="n">
        <v>224</v>
      </c>
      <c r="C230" s="2" t="n">
        <v>38</v>
      </c>
      <c r="D230" s="2" t="inlineStr">
        <is>
          <t>2026-01-28 03:15:00</t>
        </is>
      </c>
      <c r="E230" s="2" t="n">
        <v>299</v>
      </c>
      <c r="F230" s="2" t="inlineStr">
        <is>
          <t>Wallet</t>
        </is>
      </c>
      <c r="G230" s="2" t="inlineStr">
        <is>
          <t>failed</t>
        </is>
      </c>
      <c r="H230" s="2" t="n">
        <v>51</v>
      </c>
      <c r="I230" s="2">
        <f>IFERROR(VLOOKUP(C230,Merchants!$A$2:$D$41,2,FALSE),"Merchant not found")</f>
        <v/>
      </c>
      <c r="J230" s="2">
        <f>IFERROR(VLOOKUP(C230,Merchants!$A$2:$D$41,3,FALSE),"Merchant not found")</f>
        <v/>
      </c>
      <c r="K230" s="2">
        <f>IFERROR(VLOOKUP(C230,Merchants!$A$2:$D$41,4,FALSE),"Merchant not found")</f>
        <v/>
      </c>
      <c r="L230" s="2">
        <f>IFERROR(HLOOKUP(F230,Fee_Tiers!$B$4:$E$5,2,FALSE),0)</f>
        <v/>
      </c>
      <c r="M230" s="2">
        <f>IF(AND(E230&gt;500,K230&lt;&gt;"East"),"High-Value Merchant Day",IF(AND(E230&gt;500,K230="East"),"High-Value East (Excluded)",IF(E230&lt;=500,"Standard","Unknown")))</f>
        <v/>
      </c>
    </row>
    <row r="231">
      <c r="A231" s="2" t="inlineStr">
        <is>
          <t>TXN100229</t>
        </is>
      </c>
      <c r="B231" s="2" t="n">
        <v>159</v>
      </c>
      <c r="C231" s="2" t="n">
        <v>22</v>
      </c>
      <c r="D231" s="2" t="inlineStr">
        <is>
          <t>2026-01-17 02:25:00</t>
        </is>
      </c>
      <c r="E231" s="2" t="n">
        <v>799</v>
      </c>
      <c r="F231" s="2" t="inlineStr">
        <is>
          <t>UPI</t>
        </is>
      </c>
      <c r="G231" s="2" t="inlineStr">
        <is>
          <t>captured</t>
        </is>
      </c>
      <c r="H231" s="2" t="n">
        <v>28</v>
      </c>
      <c r="I231" s="2">
        <f>IFERROR(VLOOKUP(C231,Merchants!$A$2:$D$41,2,FALSE),"Merchant not found")</f>
        <v/>
      </c>
      <c r="J231" s="2">
        <f>IFERROR(VLOOKUP(C231,Merchants!$A$2:$D$41,3,FALSE),"Merchant not found")</f>
        <v/>
      </c>
      <c r="K231" s="2">
        <f>IFERROR(VLOOKUP(C231,Merchants!$A$2:$D$41,4,FALSE),"Merchant not found")</f>
        <v/>
      </c>
      <c r="L231" s="2">
        <f>IFERROR(HLOOKUP(F231,Fee_Tiers!$B$4:$E$5,2,FALSE),0)</f>
        <v/>
      </c>
      <c r="M231" s="2">
        <f>IF(AND(E231&gt;500,K231&lt;&gt;"East"),"High-Value Merchant Day",IF(AND(E231&gt;500,K231="East"),"High-Value East (Excluded)",IF(E231&lt;=500,"Standard","Unknown")))</f>
        <v/>
      </c>
    </row>
    <row r="232">
      <c r="A232" s="2" t="inlineStr">
        <is>
          <t>TXN100230</t>
        </is>
      </c>
      <c r="B232" s="2" t="n">
        <v>262</v>
      </c>
      <c r="C232" s="2" t="n">
        <v>8</v>
      </c>
      <c r="D232" s="2" t="inlineStr">
        <is>
          <t>2026-01-11 05:04:00</t>
        </is>
      </c>
      <c r="E232" s="2" t="n">
        <v>149</v>
      </c>
      <c r="F232" s="2" t="inlineStr">
        <is>
          <t>UPI</t>
        </is>
      </c>
      <c r="G232" s="2" t="inlineStr">
        <is>
          <t>captured</t>
        </is>
      </c>
      <c r="H232" s="2" t="n">
        <v>67</v>
      </c>
      <c r="I232" s="2">
        <f>IFERROR(VLOOKUP(C232,Merchants!$A$2:$D$41,2,FALSE),"Merchant not found")</f>
        <v/>
      </c>
      <c r="J232" s="2">
        <f>IFERROR(VLOOKUP(C232,Merchants!$A$2:$D$41,3,FALSE),"Merchant not found")</f>
        <v/>
      </c>
      <c r="K232" s="2">
        <f>IFERROR(VLOOKUP(C232,Merchants!$A$2:$D$41,4,FALSE),"Merchant not found")</f>
        <v/>
      </c>
      <c r="L232" s="2">
        <f>IFERROR(HLOOKUP(F232,Fee_Tiers!$B$4:$E$5,2,FALSE),0)</f>
        <v/>
      </c>
      <c r="M232" s="2">
        <f>IF(AND(E232&gt;500,K232&lt;&gt;"East"),"High-Value Merchant Day",IF(AND(E232&gt;500,K232="East"),"High-Value East (Excluded)",IF(E232&lt;=500,"Standard","Unknown")))</f>
        <v/>
      </c>
    </row>
    <row r="233">
      <c r="A233" s="2" t="inlineStr">
        <is>
          <t>TXN100231</t>
        </is>
      </c>
      <c r="B233" s="2" t="n">
        <v>179</v>
      </c>
      <c r="C233" s="2" t="n">
        <v>23</v>
      </c>
      <c r="D233" s="2" t="inlineStr">
        <is>
          <t>2026-01-17 06:57:00</t>
        </is>
      </c>
      <c r="E233" s="2" t="n">
        <v>49</v>
      </c>
      <c r="F233" s="2" t="inlineStr">
        <is>
          <t>Wallet</t>
        </is>
      </c>
      <c r="G233" s="2" t="inlineStr">
        <is>
          <t>captured</t>
        </is>
      </c>
      <c r="H233" s="2" t="n">
        <v>93</v>
      </c>
      <c r="I233" s="2">
        <f>IFERROR(VLOOKUP(C233,Merchants!$A$2:$D$41,2,FALSE),"Merchant not found")</f>
        <v/>
      </c>
      <c r="J233" s="2">
        <f>IFERROR(VLOOKUP(C233,Merchants!$A$2:$D$41,3,FALSE),"Merchant not found")</f>
        <v/>
      </c>
      <c r="K233" s="2">
        <f>IFERROR(VLOOKUP(C233,Merchants!$A$2:$D$41,4,FALSE),"Merchant not found")</f>
        <v/>
      </c>
      <c r="L233" s="2">
        <f>IFERROR(HLOOKUP(F233,Fee_Tiers!$B$4:$E$5,2,FALSE),0)</f>
        <v/>
      </c>
      <c r="M233" s="2">
        <f>IF(AND(E233&gt;500,K233&lt;&gt;"East"),"High-Value Merchant Day",IF(AND(E233&gt;500,K233="East"),"High-Value East (Excluded)",IF(E233&lt;=500,"Standard","Unknown")))</f>
        <v/>
      </c>
    </row>
    <row r="234">
      <c r="A234" s="2" t="inlineStr">
        <is>
          <t>TXN100232</t>
        </is>
      </c>
      <c r="B234" s="2" t="n">
        <v>76</v>
      </c>
      <c r="C234" s="2" t="n">
        <v>16</v>
      </c>
      <c r="D234" s="2" t="inlineStr">
        <is>
          <t>2026-01-27 20:52:00</t>
        </is>
      </c>
      <c r="E234" s="2" t="n">
        <v>299</v>
      </c>
      <c r="F234" s="2" t="inlineStr">
        <is>
          <t>UPI</t>
        </is>
      </c>
      <c r="G234" s="2" t="inlineStr">
        <is>
          <t>captured</t>
        </is>
      </c>
      <c r="H234" s="2" t="n">
        <v>13</v>
      </c>
      <c r="I234" s="2">
        <f>IFERROR(VLOOKUP(C234,Merchants!$A$2:$D$41,2,FALSE),"Merchant not found")</f>
        <v/>
      </c>
      <c r="J234" s="2">
        <f>IFERROR(VLOOKUP(C234,Merchants!$A$2:$D$41,3,FALSE),"Merchant not found")</f>
        <v/>
      </c>
      <c r="K234" s="2">
        <f>IFERROR(VLOOKUP(C234,Merchants!$A$2:$D$41,4,FALSE),"Merchant not found")</f>
        <v/>
      </c>
      <c r="L234" s="2">
        <f>IFERROR(HLOOKUP(F234,Fee_Tiers!$B$4:$E$5,2,FALSE),0)</f>
        <v/>
      </c>
      <c r="M234" s="2">
        <f>IF(AND(E234&gt;500,K234&lt;&gt;"East"),"High-Value Merchant Day",IF(AND(E234&gt;500,K234="East"),"High-Value East (Excluded)",IF(E234&lt;=500,"Standard","Unknown")))</f>
        <v/>
      </c>
    </row>
    <row r="235">
      <c r="A235" s="2" t="inlineStr">
        <is>
          <t>TXN100233</t>
        </is>
      </c>
      <c r="B235" s="2" t="n">
        <v>89</v>
      </c>
      <c r="C235" s="2" t="n">
        <v>39</v>
      </c>
      <c r="D235" s="2" t="inlineStr">
        <is>
          <t>2026-01-05 08:12:00</t>
        </is>
      </c>
      <c r="E235" s="2" t="n">
        <v>299</v>
      </c>
      <c r="F235" s="2" t="inlineStr">
        <is>
          <t>UPI</t>
        </is>
      </c>
      <c r="G235" s="2" t="inlineStr">
        <is>
          <t>captured</t>
        </is>
      </c>
      <c r="H235" s="2" t="n">
        <v>19</v>
      </c>
      <c r="I235" s="2">
        <f>IFERROR(VLOOKUP(C235,Merchants!$A$2:$D$41,2,FALSE),"Merchant not found")</f>
        <v/>
      </c>
      <c r="J235" s="2">
        <f>IFERROR(VLOOKUP(C235,Merchants!$A$2:$D$41,3,FALSE),"Merchant not found")</f>
        <v/>
      </c>
      <c r="K235" s="2">
        <f>IFERROR(VLOOKUP(C235,Merchants!$A$2:$D$41,4,FALSE),"Merchant not found")</f>
        <v/>
      </c>
      <c r="L235" s="2">
        <f>IFERROR(HLOOKUP(F235,Fee_Tiers!$B$4:$E$5,2,FALSE),0)</f>
        <v/>
      </c>
      <c r="M235" s="2">
        <f>IF(AND(E235&gt;500,K235&lt;&gt;"East"),"High-Value Merchant Day",IF(AND(E235&gt;500,K235="East"),"High-Value East (Excluded)",IF(E235&lt;=500,"Standard","Unknown")))</f>
        <v/>
      </c>
    </row>
    <row r="236">
      <c r="A236" s="2" t="inlineStr">
        <is>
          <t>TXN100234</t>
        </is>
      </c>
      <c r="B236" s="2" t="n">
        <v>91</v>
      </c>
      <c r="C236" s="2" t="n">
        <v>32</v>
      </c>
      <c r="D236" s="2" t="inlineStr">
        <is>
          <t>2026-01-25 20:04:00</t>
        </is>
      </c>
      <c r="E236" s="2" t="n">
        <v>49</v>
      </c>
      <c r="F236" s="2" t="inlineStr">
        <is>
          <t>UPI</t>
        </is>
      </c>
      <c r="G236" s="2" t="inlineStr">
        <is>
          <t>captured</t>
        </is>
      </c>
      <c r="H236" s="2" t="n">
        <v>59</v>
      </c>
      <c r="I236" s="2">
        <f>IFERROR(VLOOKUP(C236,Merchants!$A$2:$D$41,2,FALSE),"Merchant not found")</f>
        <v/>
      </c>
      <c r="J236" s="2">
        <f>IFERROR(VLOOKUP(C236,Merchants!$A$2:$D$41,3,FALSE),"Merchant not found")</f>
        <v/>
      </c>
      <c r="K236" s="2">
        <f>IFERROR(VLOOKUP(C236,Merchants!$A$2:$D$41,4,FALSE),"Merchant not found")</f>
        <v/>
      </c>
      <c r="L236" s="2">
        <f>IFERROR(HLOOKUP(F236,Fee_Tiers!$B$4:$E$5,2,FALSE),0)</f>
        <v/>
      </c>
      <c r="M236" s="2">
        <f>IF(AND(E236&gt;500,K236&lt;&gt;"East"),"High-Value Merchant Day",IF(AND(E236&gt;500,K236="East"),"High-Value East (Excluded)",IF(E236&lt;=500,"Standard","Unknown")))</f>
        <v/>
      </c>
    </row>
    <row r="237">
      <c r="A237" s="2" t="inlineStr">
        <is>
          <t>TXN100235</t>
        </is>
      </c>
      <c r="B237" s="2" t="n">
        <v>297</v>
      </c>
      <c r="C237" s="2" t="n">
        <v>29</v>
      </c>
      <c r="D237" s="2" t="inlineStr">
        <is>
          <t>2026-01-25 18:48:00</t>
        </is>
      </c>
      <c r="E237" s="2" t="n">
        <v>99</v>
      </c>
      <c r="F237" s="2" t="inlineStr">
        <is>
          <t>Card</t>
        </is>
      </c>
      <c r="G237" s="2" t="inlineStr">
        <is>
          <t>chargeback</t>
        </is>
      </c>
      <c r="H237" s="2" t="n">
        <v>87</v>
      </c>
      <c r="I237" s="2">
        <f>IFERROR(VLOOKUP(C237,Merchants!$A$2:$D$41,2,FALSE),"Merchant not found")</f>
        <v/>
      </c>
      <c r="J237" s="2">
        <f>IFERROR(VLOOKUP(C237,Merchants!$A$2:$D$41,3,FALSE),"Merchant not found")</f>
        <v/>
      </c>
      <c r="K237" s="2">
        <f>IFERROR(VLOOKUP(C237,Merchants!$A$2:$D$41,4,FALSE),"Merchant not found")</f>
        <v/>
      </c>
      <c r="L237" s="2">
        <f>IFERROR(HLOOKUP(F237,Fee_Tiers!$B$4:$E$5,2,FALSE),0)</f>
        <v/>
      </c>
      <c r="M237" s="2">
        <f>IF(AND(E237&gt;500,K237&lt;&gt;"East"),"High-Value Merchant Day",IF(AND(E237&gt;500,K237="East"),"High-Value East (Excluded)",IF(E237&lt;=500,"Standard","Unknown")))</f>
        <v/>
      </c>
    </row>
    <row r="238">
      <c r="A238" s="2" t="inlineStr">
        <is>
          <t>TXN100236</t>
        </is>
      </c>
      <c r="B238" s="2" t="n">
        <v>326</v>
      </c>
      <c r="C238" s="2" t="n">
        <v>40</v>
      </c>
      <c r="D238" s="2" t="inlineStr">
        <is>
          <t>2026-01-30 18:41:00</t>
        </is>
      </c>
      <c r="E238" s="2" t="n">
        <v>499</v>
      </c>
      <c r="F238" s="2" t="inlineStr">
        <is>
          <t>Card</t>
        </is>
      </c>
      <c r="G238" s="2" t="inlineStr">
        <is>
          <t>captured</t>
        </is>
      </c>
      <c r="H238" s="2" t="n">
        <v>41</v>
      </c>
      <c r="I238" s="2">
        <f>IFERROR(VLOOKUP(C238,Merchants!$A$2:$D$41,2,FALSE),"Merchant not found")</f>
        <v/>
      </c>
      <c r="J238" s="2">
        <f>IFERROR(VLOOKUP(C238,Merchants!$A$2:$D$41,3,FALSE),"Merchant not found")</f>
        <v/>
      </c>
      <c r="K238" s="2">
        <f>IFERROR(VLOOKUP(C238,Merchants!$A$2:$D$41,4,FALSE),"Merchant not found")</f>
        <v/>
      </c>
      <c r="L238" s="2">
        <f>IFERROR(HLOOKUP(F238,Fee_Tiers!$B$4:$E$5,2,FALSE),0)</f>
        <v/>
      </c>
      <c r="M238" s="2">
        <f>IF(AND(E238&gt;500,K238&lt;&gt;"East"),"High-Value Merchant Day",IF(AND(E238&gt;500,K238="East"),"High-Value East (Excluded)",IF(E238&lt;=500,"Standard","Unknown")))</f>
        <v/>
      </c>
    </row>
    <row r="239">
      <c r="A239" s="2" t="inlineStr">
        <is>
          <t>TXN100237</t>
        </is>
      </c>
      <c r="B239" s="2" t="n">
        <v>78</v>
      </c>
      <c r="C239" s="2" t="n">
        <v>29</v>
      </c>
      <c r="D239" s="2" t="inlineStr">
        <is>
          <t>2026-01-28 20:20:00</t>
        </is>
      </c>
      <c r="E239" s="2" t="n">
        <v>149</v>
      </c>
      <c r="F239" s="2" t="inlineStr">
        <is>
          <t>UPI</t>
        </is>
      </c>
      <c r="G239" s="2" t="inlineStr">
        <is>
          <t>captured</t>
        </is>
      </c>
      <c r="H239" s="2" t="n">
        <v>8</v>
      </c>
      <c r="I239" s="2">
        <f>IFERROR(VLOOKUP(C239,Merchants!$A$2:$D$41,2,FALSE),"Merchant not found")</f>
        <v/>
      </c>
      <c r="J239" s="2">
        <f>IFERROR(VLOOKUP(C239,Merchants!$A$2:$D$41,3,FALSE),"Merchant not found")</f>
        <v/>
      </c>
      <c r="K239" s="2">
        <f>IFERROR(VLOOKUP(C239,Merchants!$A$2:$D$41,4,FALSE),"Merchant not found")</f>
        <v/>
      </c>
      <c r="L239" s="2">
        <f>IFERROR(HLOOKUP(F239,Fee_Tiers!$B$4:$E$5,2,FALSE),0)</f>
        <v/>
      </c>
      <c r="M239" s="2">
        <f>IF(AND(E239&gt;500,K239&lt;&gt;"East"),"High-Value Merchant Day",IF(AND(E239&gt;500,K239="East"),"High-Value East (Excluded)",IF(E239&lt;=500,"Standard","Unknown")))</f>
        <v/>
      </c>
    </row>
    <row r="240">
      <c r="A240" s="2" t="inlineStr">
        <is>
          <t>TXN100238</t>
        </is>
      </c>
      <c r="B240" s="2" t="n">
        <v>156</v>
      </c>
      <c r="C240" s="2" t="n">
        <v>18</v>
      </c>
      <c r="D240" s="2" t="inlineStr">
        <is>
          <t>2026-01-16 14:40:00</t>
        </is>
      </c>
      <c r="E240" s="2" t="n">
        <v>2999</v>
      </c>
      <c r="F240" s="2" t="inlineStr">
        <is>
          <t>Card</t>
        </is>
      </c>
      <c r="G240" s="2" t="inlineStr">
        <is>
          <t>captured</t>
        </is>
      </c>
      <c r="H240" s="2" t="n">
        <v>75</v>
      </c>
      <c r="I240" s="2">
        <f>IFERROR(VLOOKUP(C240,Merchants!$A$2:$D$41,2,FALSE),"Merchant not found")</f>
        <v/>
      </c>
      <c r="J240" s="2">
        <f>IFERROR(VLOOKUP(C240,Merchants!$A$2:$D$41,3,FALSE),"Merchant not found")</f>
        <v/>
      </c>
      <c r="K240" s="2">
        <f>IFERROR(VLOOKUP(C240,Merchants!$A$2:$D$41,4,FALSE),"Merchant not found")</f>
        <v/>
      </c>
      <c r="L240" s="2">
        <f>IFERROR(HLOOKUP(F240,Fee_Tiers!$B$4:$E$5,2,FALSE),0)</f>
        <v/>
      </c>
      <c r="M240" s="2">
        <f>IF(AND(E240&gt;500,K240&lt;&gt;"East"),"High-Value Merchant Day",IF(AND(E240&gt;500,K240="East"),"High-Value East (Excluded)",IF(E240&lt;=500,"Standard","Unknown")))</f>
        <v/>
      </c>
    </row>
    <row r="241">
      <c r="A241" s="2" t="inlineStr">
        <is>
          <t>TXN100239</t>
        </is>
      </c>
      <c r="B241" s="2" t="n">
        <v>38</v>
      </c>
      <c r="C241" s="2" t="n">
        <v>20</v>
      </c>
      <c r="D241" s="2" t="inlineStr">
        <is>
          <t>2026-01-02 11:32:00</t>
        </is>
      </c>
      <c r="E241" s="2" t="n">
        <v>49</v>
      </c>
      <c r="F241" s="2" t="inlineStr">
        <is>
          <t>Wallet</t>
        </is>
      </c>
      <c r="G241" s="2" t="inlineStr">
        <is>
          <t>failed</t>
        </is>
      </c>
      <c r="H241" s="2" t="n">
        <v>59</v>
      </c>
      <c r="I241" s="2">
        <f>IFERROR(VLOOKUP(C241,Merchants!$A$2:$D$41,2,FALSE),"Merchant not found")</f>
        <v/>
      </c>
      <c r="J241" s="2">
        <f>IFERROR(VLOOKUP(C241,Merchants!$A$2:$D$41,3,FALSE),"Merchant not found")</f>
        <v/>
      </c>
      <c r="K241" s="2">
        <f>IFERROR(VLOOKUP(C241,Merchants!$A$2:$D$41,4,FALSE),"Merchant not found")</f>
        <v/>
      </c>
      <c r="L241" s="2">
        <f>IFERROR(HLOOKUP(F241,Fee_Tiers!$B$4:$E$5,2,FALSE),0)</f>
        <v/>
      </c>
      <c r="M241" s="2">
        <f>IF(AND(E241&gt;500,K241&lt;&gt;"East"),"High-Value Merchant Day",IF(AND(E241&gt;500,K241="East"),"High-Value East (Excluded)",IF(E241&lt;=500,"Standard","Unknown")))</f>
        <v/>
      </c>
    </row>
    <row r="242">
      <c r="A242" s="2" t="inlineStr">
        <is>
          <t>TXN100240</t>
        </is>
      </c>
      <c r="B242" s="2" t="n">
        <v>189</v>
      </c>
      <c r="C242" s="2" t="n">
        <v>19</v>
      </c>
      <c r="D242" s="2" t="inlineStr">
        <is>
          <t>2026-01-15 01:03:00</t>
        </is>
      </c>
      <c r="E242" s="2" t="n">
        <v>99</v>
      </c>
      <c r="F242" s="2" t="inlineStr">
        <is>
          <t>UPI</t>
        </is>
      </c>
      <c r="G242" s="2" t="inlineStr">
        <is>
          <t>failed</t>
        </is>
      </c>
      <c r="H242" s="2" t="n">
        <v>9</v>
      </c>
      <c r="I242" s="2">
        <f>IFERROR(VLOOKUP(C242,Merchants!$A$2:$D$41,2,FALSE),"Merchant not found")</f>
        <v/>
      </c>
      <c r="J242" s="2">
        <f>IFERROR(VLOOKUP(C242,Merchants!$A$2:$D$41,3,FALSE),"Merchant not found")</f>
        <v/>
      </c>
      <c r="K242" s="2">
        <f>IFERROR(VLOOKUP(C242,Merchants!$A$2:$D$41,4,FALSE),"Merchant not found")</f>
        <v/>
      </c>
      <c r="L242" s="2">
        <f>IFERROR(HLOOKUP(F242,Fee_Tiers!$B$4:$E$5,2,FALSE),0)</f>
        <v/>
      </c>
      <c r="M242" s="2">
        <f>IF(AND(E242&gt;500,K242&lt;&gt;"East"),"High-Value Merchant Day",IF(AND(E242&gt;500,K242="East"),"High-Value East (Excluded)",IF(E242&lt;=500,"Standard","Unknown")))</f>
        <v/>
      </c>
    </row>
    <row r="243">
      <c r="A243" s="2" t="inlineStr">
        <is>
          <t>TXN100241</t>
        </is>
      </c>
      <c r="B243" s="2" t="n">
        <v>305</v>
      </c>
      <c r="C243" s="2" t="n">
        <v>33</v>
      </c>
      <c r="D243" s="2" t="inlineStr">
        <is>
          <t>2026-01-21 02:39:00</t>
        </is>
      </c>
      <c r="E243" s="2" t="n">
        <v>299</v>
      </c>
      <c r="F243" s="2" t="inlineStr">
        <is>
          <t>Card</t>
        </is>
      </c>
      <c r="G243" s="2" t="inlineStr">
        <is>
          <t>captured</t>
        </is>
      </c>
      <c r="H243" s="2" t="n">
        <v>49</v>
      </c>
      <c r="I243" s="2">
        <f>IFERROR(VLOOKUP(C243,Merchants!$A$2:$D$41,2,FALSE),"Merchant not found")</f>
        <v/>
      </c>
      <c r="J243" s="2">
        <f>IFERROR(VLOOKUP(C243,Merchants!$A$2:$D$41,3,FALSE),"Merchant not found")</f>
        <v/>
      </c>
      <c r="K243" s="2">
        <f>IFERROR(VLOOKUP(C243,Merchants!$A$2:$D$41,4,FALSE),"Merchant not found")</f>
        <v/>
      </c>
      <c r="L243" s="2">
        <f>IFERROR(HLOOKUP(F243,Fee_Tiers!$B$4:$E$5,2,FALSE),0)</f>
        <v/>
      </c>
      <c r="M243" s="2">
        <f>IF(AND(E243&gt;500,K243&lt;&gt;"East"),"High-Value Merchant Day",IF(AND(E243&gt;500,K243="East"),"High-Value East (Excluded)",IF(E243&lt;=500,"Standard","Unknown")))</f>
        <v/>
      </c>
    </row>
    <row r="244">
      <c r="A244" s="2" t="inlineStr">
        <is>
          <t>TXN100242</t>
        </is>
      </c>
      <c r="B244" s="2" t="n">
        <v>22</v>
      </c>
      <c r="C244" s="2" t="n">
        <v>29</v>
      </c>
      <c r="D244" s="2" t="inlineStr">
        <is>
          <t>2026-01-15 18:35:00</t>
        </is>
      </c>
      <c r="E244" s="2" t="n">
        <v>799</v>
      </c>
      <c r="F244" s="2" t="inlineStr">
        <is>
          <t>UPI</t>
        </is>
      </c>
      <c r="G244" s="2" t="inlineStr">
        <is>
          <t>captured</t>
        </is>
      </c>
      <c r="H244" s="2" t="n">
        <v>73</v>
      </c>
      <c r="I244" s="2">
        <f>IFERROR(VLOOKUP(C244,Merchants!$A$2:$D$41,2,FALSE),"Merchant not found")</f>
        <v/>
      </c>
      <c r="J244" s="2">
        <f>IFERROR(VLOOKUP(C244,Merchants!$A$2:$D$41,3,FALSE),"Merchant not found")</f>
        <v/>
      </c>
      <c r="K244" s="2">
        <f>IFERROR(VLOOKUP(C244,Merchants!$A$2:$D$41,4,FALSE),"Merchant not found")</f>
        <v/>
      </c>
      <c r="L244" s="2">
        <f>IFERROR(HLOOKUP(F244,Fee_Tiers!$B$4:$E$5,2,FALSE),0)</f>
        <v/>
      </c>
      <c r="M244" s="2">
        <f>IF(AND(E244&gt;500,K244&lt;&gt;"East"),"High-Value Merchant Day",IF(AND(E244&gt;500,K244="East"),"High-Value East (Excluded)",IF(E244&lt;=500,"Standard","Unknown")))</f>
        <v/>
      </c>
    </row>
    <row r="245">
      <c r="A245" s="2" t="inlineStr">
        <is>
          <t>TXN100243</t>
        </is>
      </c>
      <c r="B245" s="2" t="n">
        <v>310</v>
      </c>
      <c r="C245" s="2" t="n">
        <v>31</v>
      </c>
      <c r="D245" s="2" t="inlineStr">
        <is>
          <t>2026-01-21 06:20:00</t>
        </is>
      </c>
      <c r="E245" s="2" t="n">
        <v>49</v>
      </c>
      <c r="F245" s="2" t="inlineStr">
        <is>
          <t>Card</t>
        </is>
      </c>
      <c r="G245" s="2" t="inlineStr">
        <is>
          <t>captured</t>
        </is>
      </c>
      <c r="H245" s="2" t="n">
        <v>64</v>
      </c>
      <c r="I245" s="2">
        <f>IFERROR(VLOOKUP(C245,Merchants!$A$2:$D$41,2,FALSE),"Merchant not found")</f>
        <v/>
      </c>
      <c r="J245" s="2">
        <f>IFERROR(VLOOKUP(C245,Merchants!$A$2:$D$41,3,FALSE),"Merchant not found")</f>
        <v/>
      </c>
      <c r="K245" s="2">
        <f>IFERROR(VLOOKUP(C245,Merchants!$A$2:$D$41,4,FALSE),"Merchant not found")</f>
        <v/>
      </c>
      <c r="L245" s="2">
        <f>IFERROR(HLOOKUP(F245,Fee_Tiers!$B$4:$E$5,2,FALSE),0)</f>
        <v/>
      </c>
      <c r="M245" s="2">
        <f>IF(AND(E245&gt;500,K245&lt;&gt;"East"),"High-Value Merchant Day",IF(AND(E245&gt;500,K245="East"),"High-Value East (Excluded)",IF(E245&lt;=500,"Standard","Unknown")))</f>
        <v/>
      </c>
    </row>
    <row r="246">
      <c r="A246" s="2" t="inlineStr">
        <is>
          <t>TXN100244</t>
        </is>
      </c>
      <c r="B246" s="2" t="n">
        <v>53</v>
      </c>
      <c r="C246" s="2" t="n">
        <v>22</v>
      </c>
      <c r="D246" s="2" t="inlineStr">
        <is>
          <t>2026-01-05 01:28:00</t>
        </is>
      </c>
      <c r="E246" s="2" t="n">
        <v>299</v>
      </c>
      <c r="F246" s="2" t="inlineStr">
        <is>
          <t>UPI</t>
        </is>
      </c>
      <c r="G246" s="2" t="inlineStr">
        <is>
          <t>captured</t>
        </is>
      </c>
      <c r="H246" s="2" t="n">
        <v>91</v>
      </c>
      <c r="I246" s="2">
        <f>IFERROR(VLOOKUP(C246,Merchants!$A$2:$D$41,2,FALSE),"Merchant not found")</f>
        <v/>
      </c>
      <c r="J246" s="2">
        <f>IFERROR(VLOOKUP(C246,Merchants!$A$2:$D$41,3,FALSE),"Merchant not found")</f>
        <v/>
      </c>
      <c r="K246" s="2">
        <f>IFERROR(VLOOKUP(C246,Merchants!$A$2:$D$41,4,FALSE),"Merchant not found")</f>
        <v/>
      </c>
      <c r="L246" s="2">
        <f>IFERROR(HLOOKUP(F246,Fee_Tiers!$B$4:$E$5,2,FALSE),0)</f>
        <v/>
      </c>
      <c r="M246" s="2">
        <f>IF(AND(E246&gt;500,K246&lt;&gt;"East"),"High-Value Merchant Day",IF(AND(E246&gt;500,K246="East"),"High-Value East (Excluded)",IF(E246&lt;=500,"Standard","Unknown")))</f>
        <v/>
      </c>
    </row>
    <row r="247">
      <c r="A247" s="2" t="inlineStr">
        <is>
          <t>TXN100245</t>
        </is>
      </c>
      <c r="B247" s="2" t="n">
        <v>89</v>
      </c>
      <c r="C247" s="2" t="n">
        <v>3</v>
      </c>
      <c r="D247" s="2" t="inlineStr">
        <is>
          <t>2026-01-03 16:41:00</t>
        </is>
      </c>
      <c r="E247" s="2" t="n">
        <v>149</v>
      </c>
      <c r="F247" s="2" t="inlineStr">
        <is>
          <t>Card</t>
        </is>
      </c>
      <c r="G247" s="2" t="inlineStr">
        <is>
          <t>captured</t>
        </is>
      </c>
      <c r="H247" s="2" t="n">
        <v>31</v>
      </c>
      <c r="I247" s="2">
        <f>IFERROR(VLOOKUP(C247,Merchants!$A$2:$D$41,2,FALSE),"Merchant not found")</f>
        <v/>
      </c>
      <c r="J247" s="2">
        <f>IFERROR(VLOOKUP(C247,Merchants!$A$2:$D$41,3,FALSE),"Merchant not found")</f>
        <v/>
      </c>
      <c r="K247" s="2">
        <f>IFERROR(VLOOKUP(C247,Merchants!$A$2:$D$41,4,FALSE),"Merchant not found")</f>
        <v/>
      </c>
      <c r="L247" s="2">
        <f>IFERROR(HLOOKUP(F247,Fee_Tiers!$B$4:$E$5,2,FALSE),0)</f>
        <v/>
      </c>
      <c r="M247" s="2">
        <f>IF(AND(E247&gt;500,K247&lt;&gt;"East"),"High-Value Merchant Day",IF(AND(E247&gt;500,K247="East"),"High-Value East (Excluded)",IF(E247&lt;=500,"Standard","Unknown")))</f>
        <v/>
      </c>
    </row>
    <row r="248">
      <c r="A248" s="2" t="inlineStr">
        <is>
          <t>TXN100246</t>
        </is>
      </c>
      <c r="B248" s="2" t="n">
        <v>269</v>
      </c>
      <c r="C248" s="2" t="n">
        <v>34</v>
      </c>
      <c r="D248" s="2" t="inlineStr">
        <is>
          <t>2026-01-23 14:28:00</t>
        </is>
      </c>
      <c r="E248" s="2" t="n">
        <v>149</v>
      </c>
      <c r="F248" s="2" t="inlineStr">
        <is>
          <t>UPI</t>
        </is>
      </c>
      <c r="G248" s="2" t="inlineStr">
        <is>
          <t>captured</t>
        </is>
      </c>
      <c r="H248" s="2" t="n">
        <v>78</v>
      </c>
      <c r="I248" s="2">
        <f>IFERROR(VLOOKUP(C248,Merchants!$A$2:$D$41,2,FALSE),"Merchant not found")</f>
        <v/>
      </c>
      <c r="J248" s="2">
        <f>IFERROR(VLOOKUP(C248,Merchants!$A$2:$D$41,3,FALSE),"Merchant not found")</f>
        <v/>
      </c>
      <c r="K248" s="2">
        <f>IFERROR(VLOOKUP(C248,Merchants!$A$2:$D$41,4,FALSE),"Merchant not found")</f>
        <v/>
      </c>
      <c r="L248" s="2">
        <f>IFERROR(HLOOKUP(F248,Fee_Tiers!$B$4:$E$5,2,FALSE),0)</f>
        <v/>
      </c>
      <c r="M248" s="2">
        <f>IF(AND(E248&gt;500,K248&lt;&gt;"East"),"High-Value Merchant Day",IF(AND(E248&gt;500,K248="East"),"High-Value East (Excluded)",IF(E248&lt;=500,"Standard","Unknown")))</f>
        <v/>
      </c>
    </row>
    <row r="249">
      <c r="A249" s="2" t="inlineStr">
        <is>
          <t>TXN100247</t>
        </is>
      </c>
      <c r="B249" s="2" t="n">
        <v>145</v>
      </c>
      <c r="C249" s="2" t="n">
        <v>25</v>
      </c>
      <c r="D249" s="2" t="inlineStr">
        <is>
          <t>2026-01-06 11:23:00</t>
        </is>
      </c>
      <c r="E249" s="2" t="n">
        <v>799</v>
      </c>
      <c r="F249" s="2" t="inlineStr">
        <is>
          <t>UPI</t>
        </is>
      </c>
      <c r="G249" s="2" t="inlineStr">
        <is>
          <t>captured</t>
        </is>
      </c>
      <c r="H249" s="2" t="n">
        <v>52</v>
      </c>
      <c r="I249" s="2">
        <f>IFERROR(VLOOKUP(C249,Merchants!$A$2:$D$41,2,FALSE),"Merchant not found")</f>
        <v/>
      </c>
      <c r="J249" s="2">
        <f>IFERROR(VLOOKUP(C249,Merchants!$A$2:$D$41,3,FALSE),"Merchant not found")</f>
        <v/>
      </c>
      <c r="K249" s="2">
        <f>IFERROR(VLOOKUP(C249,Merchants!$A$2:$D$41,4,FALSE),"Merchant not found")</f>
        <v/>
      </c>
      <c r="L249" s="2">
        <f>IFERROR(HLOOKUP(F249,Fee_Tiers!$B$4:$E$5,2,FALSE),0)</f>
        <v/>
      </c>
      <c r="M249" s="2">
        <f>IF(AND(E249&gt;500,K249&lt;&gt;"East"),"High-Value Merchant Day",IF(AND(E249&gt;500,K249="East"),"High-Value East (Excluded)",IF(E249&lt;=500,"Standard","Unknown")))</f>
        <v/>
      </c>
    </row>
    <row r="250">
      <c r="A250" s="2" t="inlineStr">
        <is>
          <t>TXN100248</t>
        </is>
      </c>
      <c r="B250" s="2" t="n">
        <v>307</v>
      </c>
      <c r="C250" s="2" t="n">
        <v>4</v>
      </c>
      <c r="D250" s="2" t="inlineStr">
        <is>
          <t>2026-01-25 10:43:00</t>
        </is>
      </c>
      <c r="E250" s="2" t="n">
        <v>1499</v>
      </c>
      <c r="F250" s="2" t="inlineStr">
        <is>
          <t>UPI</t>
        </is>
      </c>
      <c r="G250" s="2" t="inlineStr">
        <is>
          <t>captured</t>
        </is>
      </c>
      <c r="H250" s="2" t="n">
        <v>80</v>
      </c>
      <c r="I250" s="2">
        <f>IFERROR(VLOOKUP(C250,Merchants!$A$2:$D$41,2,FALSE),"Merchant not found")</f>
        <v/>
      </c>
      <c r="J250" s="2">
        <f>IFERROR(VLOOKUP(C250,Merchants!$A$2:$D$41,3,FALSE),"Merchant not found")</f>
        <v/>
      </c>
      <c r="K250" s="2">
        <f>IFERROR(VLOOKUP(C250,Merchants!$A$2:$D$41,4,FALSE),"Merchant not found")</f>
        <v/>
      </c>
      <c r="L250" s="2">
        <f>IFERROR(HLOOKUP(F250,Fee_Tiers!$B$4:$E$5,2,FALSE),0)</f>
        <v/>
      </c>
      <c r="M250" s="2">
        <f>IF(AND(E250&gt;500,K250&lt;&gt;"East"),"High-Value Merchant Day",IF(AND(E250&gt;500,K250="East"),"High-Value East (Excluded)",IF(E250&lt;=500,"Standard","Unknown")))</f>
        <v/>
      </c>
    </row>
    <row r="251">
      <c r="A251" s="2" t="inlineStr">
        <is>
          <t>TXN100249</t>
        </is>
      </c>
      <c r="B251" s="2" t="n">
        <v>169</v>
      </c>
      <c r="C251" s="2" t="n">
        <v>7</v>
      </c>
      <c r="D251" s="2" t="inlineStr">
        <is>
          <t>2026-01-21 10:04:00</t>
        </is>
      </c>
      <c r="E251" s="2" t="n">
        <v>1499</v>
      </c>
      <c r="F251" s="2" t="inlineStr">
        <is>
          <t>Wallet</t>
        </is>
      </c>
      <c r="G251" s="2" t="inlineStr">
        <is>
          <t>captured</t>
        </is>
      </c>
      <c r="H251" s="2" t="n">
        <v>71</v>
      </c>
      <c r="I251" s="2">
        <f>IFERROR(VLOOKUP(C251,Merchants!$A$2:$D$41,2,FALSE),"Merchant not found")</f>
        <v/>
      </c>
      <c r="J251" s="2">
        <f>IFERROR(VLOOKUP(C251,Merchants!$A$2:$D$41,3,FALSE),"Merchant not found")</f>
        <v/>
      </c>
      <c r="K251" s="2">
        <f>IFERROR(VLOOKUP(C251,Merchants!$A$2:$D$41,4,FALSE),"Merchant not found")</f>
        <v/>
      </c>
      <c r="L251" s="2">
        <f>IFERROR(HLOOKUP(F251,Fee_Tiers!$B$4:$E$5,2,FALSE),0)</f>
        <v/>
      </c>
      <c r="M251" s="2">
        <f>IF(AND(E251&gt;500,K251&lt;&gt;"East"),"High-Value Merchant Day",IF(AND(E251&gt;500,K251="East"),"High-Value East (Excluded)",IF(E251&lt;=500,"Standard","Unknown")))</f>
        <v/>
      </c>
    </row>
    <row r="252">
      <c r="A252" s="2" t="inlineStr">
        <is>
          <t>TXN100250</t>
        </is>
      </c>
      <c r="B252" s="2" t="n">
        <v>130</v>
      </c>
      <c r="C252" s="2" t="n">
        <v>39</v>
      </c>
      <c r="D252" s="2" t="inlineStr">
        <is>
          <t>2026-01-22 12:18:00</t>
        </is>
      </c>
      <c r="E252" s="2" t="n">
        <v>2999</v>
      </c>
      <c r="F252" s="2" t="inlineStr">
        <is>
          <t>Wallet</t>
        </is>
      </c>
      <c r="G252" s="2" t="inlineStr">
        <is>
          <t>captured</t>
        </is>
      </c>
      <c r="H252" s="2" t="n">
        <v>19</v>
      </c>
      <c r="I252" s="2">
        <f>IFERROR(VLOOKUP(C252,Merchants!$A$2:$D$41,2,FALSE),"Merchant not found")</f>
        <v/>
      </c>
      <c r="J252" s="2">
        <f>IFERROR(VLOOKUP(C252,Merchants!$A$2:$D$41,3,FALSE),"Merchant not found")</f>
        <v/>
      </c>
      <c r="K252" s="2">
        <f>IFERROR(VLOOKUP(C252,Merchants!$A$2:$D$41,4,FALSE),"Merchant not found")</f>
        <v/>
      </c>
      <c r="L252" s="2">
        <f>IFERROR(HLOOKUP(F252,Fee_Tiers!$B$4:$E$5,2,FALSE),0)</f>
        <v/>
      </c>
      <c r="M252" s="2">
        <f>IF(AND(E252&gt;500,K252&lt;&gt;"East"),"High-Value Merchant Day",IF(AND(E252&gt;500,K252="East"),"High-Value East (Excluded)",IF(E252&lt;=500,"Standard","Unknown")))</f>
        <v/>
      </c>
    </row>
    <row r="253">
      <c r="A253" s="2" t="inlineStr">
        <is>
          <t>TXN100251</t>
        </is>
      </c>
      <c r="B253" s="2" t="n">
        <v>340</v>
      </c>
      <c r="C253" s="2" t="n">
        <v>10</v>
      </c>
      <c r="D253" s="2" t="inlineStr">
        <is>
          <t>2026-01-11 02:37:00</t>
        </is>
      </c>
      <c r="E253" s="2" t="n">
        <v>49</v>
      </c>
      <c r="F253" s="2" t="inlineStr">
        <is>
          <t>Card</t>
        </is>
      </c>
      <c r="G253" s="2" t="inlineStr">
        <is>
          <t>captured</t>
        </is>
      </c>
      <c r="H253" s="2" t="n">
        <v>44</v>
      </c>
      <c r="I253" s="2">
        <f>IFERROR(VLOOKUP(C253,Merchants!$A$2:$D$41,2,FALSE),"Merchant not found")</f>
        <v/>
      </c>
      <c r="J253" s="2">
        <f>IFERROR(VLOOKUP(C253,Merchants!$A$2:$D$41,3,FALSE),"Merchant not found")</f>
        <v/>
      </c>
      <c r="K253" s="2">
        <f>IFERROR(VLOOKUP(C253,Merchants!$A$2:$D$41,4,FALSE),"Merchant not found")</f>
        <v/>
      </c>
      <c r="L253" s="2">
        <f>IFERROR(HLOOKUP(F253,Fee_Tiers!$B$4:$E$5,2,FALSE),0)</f>
        <v/>
      </c>
      <c r="M253" s="2">
        <f>IF(AND(E253&gt;500,K253&lt;&gt;"East"),"High-Value Merchant Day",IF(AND(E253&gt;500,K253="East"),"High-Value East (Excluded)",IF(E253&lt;=500,"Standard","Unknown")))</f>
        <v/>
      </c>
    </row>
    <row r="254">
      <c r="A254" s="2" t="inlineStr">
        <is>
          <t>TXN100252</t>
        </is>
      </c>
      <c r="B254" s="2" t="n">
        <v>340</v>
      </c>
      <c r="C254" s="2" t="n">
        <v>26</v>
      </c>
      <c r="D254" s="2" t="inlineStr">
        <is>
          <t>2026-01-10 20:44:00</t>
        </is>
      </c>
      <c r="E254" s="2" t="n">
        <v>299</v>
      </c>
      <c r="F254" s="2" t="inlineStr">
        <is>
          <t>Card</t>
        </is>
      </c>
      <c r="G254" s="2" t="inlineStr">
        <is>
          <t>captured</t>
        </is>
      </c>
      <c r="H254" s="2" t="n">
        <v>16</v>
      </c>
      <c r="I254" s="2">
        <f>IFERROR(VLOOKUP(C254,Merchants!$A$2:$D$41,2,FALSE),"Merchant not found")</f>
        <v/>
      </c>
      <c r="J254" s="2">
        <f>IFERROR(VLOOKUP(C254,Merchants!$A$2:$D$41,3,FALSE),"Merchant not found")</f>
        <v/>
      </c>
      <c r="K254" s="2">
        <f>IFERROR(VLOOKUP(C254,Merchants!$A$2:$D$41,4,FALSE),"Merchant not found")</f>
        <v/>
      </c>
      <c r="L254" s="2">
        <f>IFERROR(HLOOKUP(F254,Fee_Tiers!$B$4:$E$5,2,FALSE),0)</f>
        <v/>
      </c>
      <c r="M254" s="2">
        <f>IF(AND(E254&gt;500,K254&lt;&gt;"East"),"High-Value Merchant Day",IF(AND(E254&gt;500,K254="East"),"High-Value East (Excluded)",IF(E254&lt;=500,"Standard","Unknown")))</f>
        <v/>
      </c>
    </row>
    <row r="255">
      <c r="A255" s="2" t="inlineStr">
        <is>
          <t>TXN100253</t>
        </is>
      </c>
      <c r="B255" s="2" t="n">
        <v>159</v>
      </c>
      <c r="C255" s="2" t="n">
        <v>36</v>
      </c>
      <c r="D255" s="2" t="inlineStr">
        <is>
          <t>2026-01-20 22:05:00</t>
        </is>
      </c>
      <c r="E255" s="2" t="n">
        <v>49</v>
      </c>
      <c r="F255" s="2" t="inlineStr">
        <is>
          <t>UPI</t>
        </is>
      </c>
      <c r="G255" s="2" t="inlineStr">
        <is>
          <t>captured</t>
        </is>
      </c>
      <c r="H255" s="2" t="n">
        <v>48</v>
      </c>
      <c r="I255" s="2">
        <f>IFERROR(VLOOKUP(C255,Merchants!$A$2:$D$41,2,FALSE),"Merchant not found")</f>
        <v/>
      </c>
      <c r="J255" s="2">
        <f>IFERROR(VLOOKUP(C255,Merchants!$A$2:$D$41,3,FALSE),"Merchant not found")</f>
        <v/>
      </c>
      <c r="K255" s="2">
        <f>IFERROR(VLOOKUP(C255,Merchants!$A$2:$D$41,4,FALSE),"Merchant not found")</f>
        <v/>
      </c>
      <c r="L255" s="2">
        <f>IFERROR(HLOOKUP(F255,Fee_Tiers!$B$4:$E$5,2,FALSE),0)</f>
        <v/>
      </c>
      <c r="M255" s="2">
        <f>IF(AND(E255&gt;500,K255&lt;&gt;"East"),"High-Value Merchant Day",IF(AND(E255&gt;500,K255="East"),"High-Value East (Excluded)",IF(E255&lt;=500,"Standard","Unknown")))</f>
        <v/>
      </c>
    </row>
    <row r="256">
      <c r="A256" s="2" t="inlineStr">
        <is>
          <t>TXN100254</t>
        </is>
      </c>
      <c r="B256" s="2" t="n">
        <v>66</v>
      </c>
      <c r="C256" s="2" t="n">
        <v>34</v>
      </c>
      <c r="D256" s="2" t="inlineStr">
        <is>
          <t>2026-01-21 10:52:00</t>
        </is>
      </c>
      <c r="E256" s="2" t="n">
        <v>799</v>
      </c>
      <c r="F256" s="2" t="inlineStr">
        <is>
          <t>UPI</t>
        </is>
      </c>
      <c r="G256" s="2" t="inlineStr">
        <is>
          <t>captured</t>
        </is>
      </c>
      <c r="H256" s="2" t="n">
        <v>11</v>
      </c>
      <c r="I256" s="2">
        <f>IFERROR(VLOOKUP(C256,Merchants!$A$2:$D$41,2,FALSE),"Merchant not found")</f>
        <v/>
      </c>
      <c r="J256" s="2">
        <f>IFERROR(VLOOKUP(C256,Merchants!$A$2:$D$41,3,FALSE),"Merchant not found")</f>
        <v/>
      </c>
      <c r="K256" s="2">
        <f>IFERROR(VLOOKUP(C256,Merchants!$A$2:$D$41,4,FALSE),"Merchant not found")</f>
        <v/>
      </c>
      <c r="L256" s="2">
        <f>IFERROR(HLOOKUP(F256,Fee_Tiers!$B$4:$E$5,2,FALSE),0)</f>
        <v/>
      </c>
      <c r="M256" s="2">
        <f>IF(AND(E256&gt;500,K256&lt;&gt;"East"),"High-Value Merchant Day",IF(AND(E256&gt;500,K256="East"),"High-Value East (Excluded)",IF(E256&lt;=500,"Standard","Unknown")))</f>
        <v/>
      </c>
    </row>
    <row r="257">
      <c r="A257" s="2" t="inlineStr">
        <is>
          <t>TXN100255</t>
        </is>
      </c>
      <c r="B257" s="2" t="n">
        <v>261</v>
      </c>
      <c r="C257" s="2" t="n">
        <v>24</v>
      </c>
      <c r="D257" s="2" t="inlineStr">
        <is>
          <t>2026-01-21 21:27:00</t>
        </is>
      </c>
      <c r="E257" s="2" t="n">
        <v>799</v>
      </c>
      <c r="F257" s="2" t="inlineStr">
        <is>
          <t>Card</t>
        </is>
      </c>
      <c r="G257" s="2" t="inlineStr">
        <is>
          <t>captured</t>
        </is>
      </c>
      <c r="H257" s="2" t="n">
        <v>2</v>
      </c>
      <c r="I257" s="2">
        <f>IFERROR(VLOOKUP(C257,Merchants!$A$2:$D$41,2,FALSE),"Merchant not found")</f>
        <v/>
      </c>
      <c r="J257" s="2">
        <f>IFERROR(VLOOKUP(C257,Merchants!$A$2:$D$41,3,FALSE),"Merchant not found")</f>
        <v/>
      </c>
      <c r="K257" s="2">
        <f>IFERROR(VLOOKUP(C257,Merchants!$A$2:$D$41,4,FALSE),"Merchant not found")</f>
        <v/>
      </c>
      <c r="L257" s="2">
        <f>IFERROR(HLOOKUP(F257,Fee_Tiers!$B$4:$E$5,2,FALSE),0)</f>
        <v/>
      </c>
      <c r="M257" s="2">
        <f>IF(AND(E257&gt;500,K257&lt;&gt;"East"),"High-Value Merchant Day",IF(AND(E257&gt;500,K257="East"),"High-Value East (Excluded)",IF(E257&lt;=500,"Standard","Unknown")))</f>
        <v/>
      </c>
    </row>
    <row r="258">
      <c r="A258" s="2" t="inlineStr">
        <is>
          <t>TXN100256</t>
        </is>
      </c>
      <c r="B258" s="2" t="n">
        <v>110</v>
      </c>
      <c r="C258" s="2" t="n">
        <v>22</v>
      </c>
      <c r="D258" s="2" t="inlineStr">
        <is>
          <t>2026-01-12 09:11:00</t>
        </is>
      </c>
      <c r="E258" s="2" t="n">
        <v>799</v>
      </c>
      <c r="F258" s="2" t="inlineStr">
        <is>
          <t>UPI</t>
        </is>
      </c>
      <c r="G258" s="2" t="inlineStr">
        <is>
          <t>captured</t>
        </is>
      </c>
      <c r="H258" s="2" t="n">
        <v>98</v>
      </c>
      <c r="I258" s="2">
        <f>IFERROR(VLOOKUP(C258,Merchants!$A$2:$D$41,2,FALSE),"Merchant not found")</f>
        <v/>
      </c>
      <c r="J258" s="2">
        <f>IFERROR(VLOOKUP(C258,Merchants!$A$2:$D$41,3,FALSE),"Merchant not found")</f>
        <v/>
      </c>
      <c r="K258" s="2">
        <f>IFERROR(VLOOKUP(C258,Merchants!$A$2:$D$41,4,FALSE),"Merchant not found")</f>
        <v/>
      </c>
      <c r="L258" s="2">
        <f>IFERROR(HLOOKUP(F258,Fee_Tiers!$B$4:$E$5,2,FALSE),0)</f>
        <v/>
      </c>
      <c r="M258" s="2">
        <f>IF(AND(E258&gt;500,K258&lt;&gt;"East"),"High-Value Merchant Day",IF(AND(E258&gt;500,K258="East"),"High-Value East (Excluded)",IF(E258&lt;=500,"Standard","Unknown")))</f>
        <v/>
      </c>
    </row>
    <row r="259">
      <c r="A259" s="2" t="inlineStr">
        <is>
          <t>TXN100257</t>
        </is>
      </c>
      <c r="B259" s="2" t="n">
        <v>71</v>
      </c>
      <c r="C259" s="2" t="n">
        <v>10</v>
      </c>
      <c r="D259" s="2" t="inlineStr">
        <is>
          <t>2026-01-16 06:14:00</t>
        </is>
      </c>
      <c r="E259" s="2" t="n">
        <v>49</v>
      </c>
      <c r="F259" s="2" t="inlineStr">
        <is>
          <t>UPI</t>
        </is>
      </c>
      <c r="G259" s="2" t="inlineStr">
        <is>
          <t>captured</t>
        </is>
      </c>
      <c r="H259" s="2" t="n">
        <v>9</v>
      </c>
      <c r="I259" s="2">
        <f>IFERROR(VLOOKUP(C259,Merchants!$A$2:$D$41,2,FALSE),"Merchant not found")</f>
        <v/>
      </c>
      <c r="J259" s="2">
        <f>IFERROR(VLOOKUP(C259,Merchants!$A$2:$D$41,3,FALSE),"Merchant not found")</f>
        <v/>
      </c>
      <c r="K259" s="2">
        <f>IFERROR(VLOOKUP(C259,Merchants!$A$2:$D$41,4,FALSE),"Merchant not found")</f>
        <v/>
      </c>
      <c r="L259" s="2">
        <f>IFERROR(HLOOKUP(F259,Fee_Tiers!$B$4:$E$5,2,FALSE),0)</f>
        <v/>
      </c>
      <c r="M259" s="2">
        <f>IF(AND(E259&gt;500,K259&lt;&gt;"East"),"High-Value Merchant Day",IF(AND(E259&gt;500,K259="East"),"High-Value East (Excluded)",IF(E259&lt;=500,"Standard","Unknown")))</f>
        <v/>
      </c>
    </row>
    <row r="260">
      <c r="A260" s="2" t="inlineStr">
        <is>
          <t>TXN100258</t>
        </is>
      </c>
      <c r="B260" s="2" t="n">
        <v>277</v>
      </c>
      <c r="C260" s="2" t="n">
        <v>34</v>
      </c>
      <c r="D260" s="2" t="inlineStr">
        <is>
          <t>2026-01-10 03:32:00</t>
        </is>
      </c>
      <c r="E260" s="2" t="n">
        <v>49</v>
      </c>
      <c r="F260" s="2" t="inlineStr">
        <is>
          <t>UPI</t>
        </is>
      </c>
      <c r="G260" s="2" t="inlineStr">
        <is>
          <t>captured</t>
        </is>
      </c>
      <c r="H260" s="2" t="n">
        <v>4</v>
      </c>
      <c r="I260" s="2">
        <f>IFERROR(VLOOKUP(C260,Merchants!$A$2:$D$41,2,FALSE),"Merchant not found")</f>
        <v/>
      </c>
      <c r="J260" s="2">
        <f>IFERROR(VLOOKUP(C260,Merchants!$A$2:$D$41,3,FALSE),"Merchant not found")</f>
        <v/>
      </c>
      <c r="K260" s="2">
        <f>IFERROR(VLOOKUP(C260,Merchants!$A$2:$D$41,4,FALSE),"Merchant not found")</f>
        <v/>
      </c>
      <c r="L260" s="2">
        <f>IFERROR(HLOOKUP(F260,Fee_Tiers!$B$4:$E$5,2,FALSE),0)</f>
        <v/>
      </c>
      <c r="M260" s="2">
        <f>IF(AND(E260&gt;500,K260&lt;&gt;"East"),"High-Value Merchant Day",IF(AND(E260&gt;500,K260="East"),"High-Value East (Excluded)",IF(E260&lt;=500,"Standard","Unknown")))</f>
        <v/>
      </c>
    </row>
    <row r="261">
      <c r="A261" s="2" t="inlineStr">
        <is>
          <t>TXN100259</t>
        </is>
      </c>
      <c r="B261" s="2" t="n">
        <v>317</v>
      </c>
      <c r="C261" s="2" t="n">
        <v>9</v>
      </c>
      <c r="D261" s="2" t="inlineStr">
        <is>
          <t>2026-01-22 10:56:00</t>
        </is>
      </c>
      <c r="E261" s="2" t="n">
        <v>499</v>
      </c>
      <c r="F261" s="2" t="inlineStr">
        <is>
          <t>Wallet</t>
        </is>
      </c>
      <c r="G261" s="2" t="inlineStr">
        <is>
          <t>captured</t>
        </is>
      </c>
      <c r="H261" s="2" t="n">
        <v>76</v>
      </c>
      <c r="I261" s="2">
        <f>IFERROR(VLOOKUP(C261,Merchants!$A$2:$D$41,2,FALSE),"Merchant not found")</f>
        <v/>
      </c>
      <c r="J261" s="2">
        <f>IFERROR(VLOOKUP(C261,Merchants!$A$2:$D$41,3,FALSE),"Merchant not found")</f>
        <v/>
      </c>
      <c r="K261" s="2">
        <f>IFERROR(VLOOKUP(C261,Merchants!$A$2:$D$41,4,FALSE),"Merchant not found")</f>
        <v/>
      </c>
      <c r="L261" s="2">
        <f>IFERROR(HLOOKUP(F261,Fee_Tiers!$B$4:$E$5,2,FALSE),0)</f>
        <v/>
      </c>
      <c r="M261" s="2">
        <f>IF(AND(E261&gt;500,K261&lt;&gt;"East"),"High-Value Merchant Day",IF(AND(E261&gt;500,K261="East"),"High-Value East (Excluded)",IF(E261&lt;=500,"Standard","Unknown")))</f>
        <v/>
      </c>
    </row>
    <row r="262">
      <c r="A262" s="2" t="inlineStr">
        <is>
          <t>TXN100260</t>
        </is>
      </c>
      <c r="B262" s="2" t="n">
        <v>93</v>
      </c>
      <c r="C262" s="2" t="n">
        <v>40</v>
      </c>
      <c r="D262" s="2" t="inlineStr">
        <is>
          <t>2026-01-13 04:10:00</t>
        </is>
      </c>
      <c r="E262" s="2" t="n">
        <v>299</v>
      </c>
      <c r="F262" s="2" t="inlineStr">
        <is>
          <t>UPI</t>
        </is>
      </c>
      <c r="G262" s="2" t="inlineStr">
        <is>
          <t>captured</t>
        </is>
      </c>
      <c r="H262" s="2" t="n">
        <v>21</v>
      </c>
      <c r="I262" s="2">
        <f>IFERROR(VLOOKUP(C262,Merchants!$A$2:$D$41,2,FALSE),"Merchant not found")</f>
        <v/>
      </c>
      <c r="J262" s="2">
        <f>IFERROR(VLOOKUP(C262,Merchants!$A$2:$D$41,3,FALSE),"Merchant not found")</f>
        <v/>
      </c>
      <c r="K262" s="2">
        <f>IFERROR(VLOOKUP(C262,Merchants!$A$2:$D$41,4,FALSE),"Merchant not found")</f>
        <v/>
      </c>
      <c r="L262" s="2">
        <f>IFERROR(HLOOKUP(F262,Fee_Tiers!$B$4:$E$5,2,FALSE),0)</f>
        <v/>
      </c>
      <c r="M262" s="2">
        <f>IF(AND(E262&gt;500,K262&lt;&gt;"East"),"High-Value Merchant Day",IF(AND(E262&gt;500,K262="East"),"High-Value East (Excluded)",IF(E262&lt;=500,"Standard","Unknown")))</f>
        <v/>
      </c>
    </row>
    <row r="263">
      <c r="A263" s="2" t="inlineStr">
        <is>
          <t>TXN100261</t>
        </is>
      </c>
      <c r="B263" s="2" t="n">
        <v>211</v>
      </c>
      <c r="C263" s="2" t="n">
        <v>24</v>
      </c>
      <c r="D263" s="2" t="inlineStr">
        <is>
          <t>2026-01-24 14:02:00</t>
        </is>
      </c>
      <c r="E263" s="2" t="n">
        <v>99</v>
      </c>
      <c r="F263" s="2" t="inlineStr">
        <is>
          <t>Netbanking</t>
        </is>
      </c>
      <c r="G263" s="2" t="inlineStr">
        <is>
          <t>captured</t>
        </is>
      </c>
      <c r="H263" s="2" t="n">
        <v>86</v>
      </c>
      <c r="I263" s="2">
        <f>IFERROR(VLOOKUP(C263,Merchants!$A$2:$D$41,2,FALSE),"Merchant not found")</f>
        <v/>
      </c>
      <c r="J263" s="2">
        <f>IFERROR(VLOOKUP(C263,Merchants!$A$2:$D$41,3,FALSE),"Merchant not found")</f>
        <v/>
      </c>
      <c r="K263" s="2">
        <f>IFERROR(VLOOKUP(C263,Merchants!$A$2:$D$41,4,FALSE),"Merchant not found")</f>
        <v/>
      </c>
      <c r="L263" s="2">
        <f>IFERROR(HLOOKUP(F263,Fee_Tiers!$B$4:$E$5,2,FALSE),0)</f>
        <v/>
      </c>
      <c r="M263" s="2">
        <f>IF(AND(E263&gt;500,K263&lt;&gt;"East"),"High-Value Merchant Day",IF(AND(E263&gt;500,K263="East"),"High-Value East (Excluded)",IF(E263&lt;=500,"Standard","Unknown")))</f>
        <v/>
      </c>
    </row>
    <row r="264">
      <c r="A264" s="2" t="inlineStr">
        <is>
          <t>TXN100262</t>
        </is>
      </c>
      <c r="B264" s="2" t="n">
        <v>313</v>
      </c>
      <c r="C264" s="2" t="n">
        <v>19</v>
      </c>
      <c r="D264" s="2" t="inlineStr">
        <is>
          <t>2026-01-24 07:28:00</t>
        </is>
      </c>
      <c r="E264" s="2" t="n">
        <v>149</v>
      </c>
      <c r="F264" s="2" t="inlineStr">
        <is>
          <t>UPI</t>
        </is>
      </c>
      <c r="G264" s="2" t="inlineStr">
        <is>
          <t>captured</t>
        </is>
      </c>
      <c r="H264" s="2" t="n">
        <v>96</v>
      </c>
      <c r="I264" s="2">
        <f>IFERROR(VLOOKUP(C264,Merchants!$A$2:$D$41,2,FALSE),"Merchant not found")</f>
        <v/>
      </c>
      <c r="J264" s="2">
        <f>IFERROR(VLOOKUP(C264,Merchants!$A$2:$D$41,3,FALSE),"Merchant not found")</f>
        <v/>
      </c>
      <c r="K264" s="2">
        <f>IFERROR(VLOOKUP(C264,Merchants!$A$2:$D$41,4,FALSE),"Merchant not found")</f>
        <v/>
      </c>
      <c r="L264" s="2">
        <f>IFERROR(HLOOKUP(F264,Fee_Tiers!$B$4:$E$5,2,FALSE),0)</f>
        <v/>
      </c>
      <c r="M264" s="2">
        <f>IF(AND(E264&gt;500,K264&lt;&gt;"East"),"High-Value Merchant Day",IF(AND(E264&gt;500,K264="East"),"High-Value East (Excluded)",IF(E264&lt;=500,"Standard","Unknown")))</f>
        <v/>
      </c>
    </row>
    <row r="265">
      <c r="A265" s="2" t="inlineStr">
        <is>
          <t>TXN100263</t>
        </is>
      </c>
      <c r="B265" s="2" t="n">
        <v>274</v>
      </c>
      <c r="C265" s="2" t="n">
        <v>16</v>
      </c>
      <c r="D265" s="2" t="inlineStr">
        <is>
          <t>2026-01-24 14:14:00</t>
        </is>
      </c>
      <c r="E265" s="2" t="n">
        <v>49</v>
      </c>
      <c r="F265" s="2" t="inlineStr">
        <is>
          <t>Wallet</t>
        </is>
      </c>
      <c r="G265" s="2" t="inlineStr">
        <is>
          <t>failed</t>
        </is>
      </c>
      <c r="H265" s="2" t="n">
        <v>39</v>
      </c>
      <c r="I265" s="2">
        <f>IFERROR(VLOOKUP(C265,Merchants!$A$2:$D$41,2,FALSE),"Merchant not found")</f>
        <v/>
      </c>
      <c r="J265" s="2">
        <f>IFERROR(VLOOKUP(C265,Merchants!$A$2:$D$41,3,FALSE),"Merchant not found")</f>
        <v/>
      </c>
      <c r="K265" s="2">
        <f>IFERROR(VLOOKUP(C265,Merchants!$A$2:$D$41,4,FALSE),"Merchant not found")</f>
        <v/>
      </c>
      <c r="L265" s="2">
        <f>IFERROR(HLOOKUP(F265,Fee_Tiers!$B$4:$E$5,2,FALSE),0)</f>
        <v/>
      </c>
      <c r="M265" s="2">
        <f>IF(AND(E265&gt;500,K265&lt;&gt;"East"),"High-Value Merchant Day",IF(AND(E265&gt;500,K265="East"),"High-Value East (Excluded)",IF(E265&lt;=500,"Standard","Unknown")))</f>
        <v/>
      </c>
    </row>
    <row r="266">
      <c r="A266" s="2" t="inlineStr">
        <is>
          <t>TXN100264</t>
        </is>
      </c>
      <c r="B266" s="2" t="n">
        <v>100</v>
      </c>
      <c r="C266" s="2" t="n">
        <v>24</v>
      </c>
      <c r="D266" s="2" t="inlineStr">
        <is>
          <t>2026-01-26 15:57:00</t>
        </is>
      </c>
      <c r="E266" s="2" t="n">
        <v>299</v>
      </c>
      <c r="F266" s="2" t="inlineStr">
        <is>
          <t>UPI</t>
        </is>
      </c>
      <c r="G266" s="2" t="inlineStr">
        <is>
          <t>captured</t>
        </is>
      </c>
      <c r="H266" s="2" t="n">
        <v>86</v>
      </c>
      <c r="I266" s="2">
        <f>IFERROR(VLOOKUP(C266,Merchants!$A$2:$D$41,2,FALSE),"Merchant not found")</f>
        <v/>
      </c>
      <c r="J266" s="2">
        <f>IFERROR(VLOOKUP(C266,Merchants!$A$2:$D$41,3,FALSE),"Merchant not found")</f>
        <v/>
      </c>
      <c r="K266" s="2">
        <f>IFERROR(VLOOKUP(C266,Merchants!$A$2:$D$41,4,FALSE),"Merchant not found")</f>
        <v/>
      </c>
      <c r="L266" s="2">
        <f>IFERROR(HLOOKUP(F266,Fee_Tiers!$B$4:$E$5,2,FALSE),0)</f>
        <v/>
      </c>
      <c r="M266" s="2">
        <f>IF(AND(E266&gt;500,K266&lt;&gt;"East"),"High-Value Merchant Day",IF(AND(E266&gt;500,K266="East"),"High-Value East (Excluded)",IF(E266&lt;=500,"Standard","Unknown")))</f>
        <v/>
      </c>
    </row>
    <row r="267">
      <c r="A267" s="2" t="inlineStr">
        <is>
          <t>TXN100265</t>
        </is>
      </c>
      <c r="B267" s="2" t="n">
        <v>145</v>
      </c>
      <c r="C267" s="2" t="n">
        <v>25</v>
      </c>
      <c r="D267" s="2" t="inlineStr">
        <is>
          <t>2026-01-19 14:29:00</t>
        </is>
      </c>
      <c r="E267" s="2" t="n">
        <v>2999</v>
      </c>
      <c r="F267" s="2" t="inlineStr">
        <is>
          <t>Wallet</t>
        </is>
      </c>
      <c r="G267" s="2" t="inlineStr">
        <is>
          <t>captured</t>
        </is>
      </c>
      <c r="H267" s="2" t="n">
        <v>64</v>
      </c>
      <c r="I267" s="2">
        <f>IFERROR(VLOOKUP(C267,Merchants!$A$2:$D$41,2,FALSE),"Merchant not found")</f>
        <v/>
      </c>
      <c r="J267" s="2">
        <f>IFERROR(VLOOKUP(C267,Merchants!$A$2:$D$41,3,FALSE),"Merchant not found")</f>
        <v/>
      </c>
      <c r="K267" s="2">
        <f>IFERROR(VLOOKUP(C267,Merchants!$A$2:$D$41,4,FALSE),"Merchant not found")</f>
        <v/>
      </c>
      <c r="L267" s="2">
        <f>IFERROR(HLOOKUP(F267,Fee_Tiers!$B$4:$E$5,2,FALSE),0)</f>
        <v/>
      </c>
      <c r="M267" s="2">
        <f>IF(AND(E267&gt;500,K267&lt;&gt;"East"),"High-Value Merchant Day",IF(AND(E267&gt;500,K267="East"),"High-Value East (Excluded)",IF(E267&lt;=500,"Standard","Unknown")))</f>
        <v/>
      </c>
    </row>
    <row r="268">
      <c r="A268" s="2" t="inlineStr">
        <is>
          <t>TXN100266</t>
        </is>
      </c>
      <c r="B268" s="2" t="n">
        <v>103</v>
      </c>
      <c r="C268" s="2" t="n">
        <v>39</v>
      </c>
      <c r="D268" s="2" t="inlineStr">
        <is>
          <t>2026-01-17 13:10:00</t>
        </is>
      </c>
      <c r="E268" s="2" t="n">
        <v>2999</v>
      </c>
      <c r="F268" s="2" t="inlineStr">
        <is>
          <t>Wallet</t>
        </is>
      </c>
      <c r="G268" s="2" t="inlineStr">
        <is>
          <t>captured</t>
        </is>
      </c>
      <c r="H268" s="2" t="n">
        <v>17</v>
      </c>
      <c r="I268" s="2">
        <f>IFERROR(VLOOKUP(C268,Merchants!$A$2:$D$41,2,FALSE),"Merchant not found")</f>
        <v/>
      </c>
      <c r="J268" s="2">
        <f>IFERROR(VLOOKUP(C268,Merchants!$A$2:$D$41,3,FALSE),"Merchant not found")</f>
        <v/>
      </c>
      <c r="K268" s="2">
        <f>IFERROR(VLOOKUP(C268,Merchants!$A$2:$D$41,4,FALSE),"Merchant not found")</f>
        <v/>
      </c>
      <c r="L268" s="2">
        <f>IFERROR(HLOOKUP(F268,Fee_Tiers!$B$4:$E$5,2,FALSE),0)</f>
        <v/>
      </c>
      <c r="M268" s="2">
        <f>IF(AND(E268&gt;500,K268&lt;&gt;"East"),"High-Value Merchant Day",IF(AND(E268&gt;500,K268="East"),"High-Value East (Excluded)",IF(E268&lt;=500,"Standard","Unknown")))</f>
        <v/>
      </c>
    </row>
    <row r="269">
      <c r="A269" s="2" t="inlineStr">
        <is>
          <t>TXN100267</t>
        </is>
      </c>
      <c r="B269" s="2" t="n">
        <v>329</v>
      </c>
      <c r="C269" s="2" t="n">
        <v>31</v>
      </c>
      <c r="D269" s="2" t="inlineStr">
        <is>
          <t>2026-01-28 08:03:00</t>
        </is>
      </c>
      <c r="E269" s="2" t="n">
        <v>299</v>
      </c>
      <c r="F269" s="2" t="inlineStr">
        <is>
          <t>Wallet</t>
        </is>
      </c>
      <c r="G269" s="2" t="inlineStr">
        <is>
          <t>captured</t>
        </is>
      </c>
      <c r="H269" s="2" t="n">
        <v>47</v>
      </c>
      <c r="I269" s="2">
        <f>IFERROR(VLOOKUP(C269,Merchants!$A$2:$D$41,2,FALSE),"Merchant not found")</f>
        <v/>
      </c>
      <c r="J269" s="2">
        <f>IFERROR(VLOOKUP(C269,Merchants!$A$2:$D$41,3,FALSE),"Merchant not found")</f>
        <v/>
      </c>
      <c r="K269" s="2">
        <f>IFERROR(VLOOKUP(C269,Merchants!$A$2:$D$41,4,FALSE),"Merchant not found")</f>
        <v/>
      </c>
      <c r="L269" s="2">
        <f>IFERROR(HLOOKUP(F269,Fee_Tiers!$B$4:$E$5,2,FALSE),0)</f>
        <v/>
      </c>
      <c r="M269" s="2">
        <f>IF(AND(E269&gt;500,K269&lt;&gt;"East"),"High-Value Merchant Day",IF(AND(E269&gt;500,K269="East"),"High-Value East (Excluded)",IF(E269&lt;=500,"Standard","Unknown")))</f>
        <v/>
      </c>
    </row>
    <row r="270">
      <c r="A270" s="2" t="inlineStr">
        <is>
          <t>TXN100268</t>
        </is>
      </c>
      <c r="B270" s="2" t="n">
        <v>265</v>
      </c>
      <c r="C270" s="2" t="n">
        <v>8</v>
      </c>
      <c r="D270" s="2" t="inlineStr">
        <is>
          <t>2026-01-18 03:45:00</t>
        </is>
      </c>
      <c r="E270" s="2" t="n">
        <v>499</v>
      </c>
      <c r="F270" s="2" t="inlineStr">
        <is>
          <t>Netbanking</t>
        </is>
      </c>
      <c r="G270" s="2" t="inlineStr">
        <is>
          <t>captured</t>
        </is>
      </c>
      <c r="H270" s="2" t="n">
        <v>36</v>
      </c>
      <c r="I270" s="2">
        <f>IFERROR(VLOOKUP(C270,Merchants!$A$2:$D$41,2,FALSE),"Merchant not found")</f>
        <v/>
      </c>
      <c r="J270" s="2">
        <f>IFERROR(VLOOKUP(C270,Merchants!$A$2:$D$41,3,FALSE),"Merchant not found")</f>
        <v/>
      </c>
      <c r="K270" s="2">
        <f>IFERROR(VLOOKUP(C270,Merchants!$A$2:$D$41,4,FALSE),"Merchant not found")</f>
        <v/>
      </c>
      <c r="L270" s="2">
        <f>IFERROR(HLOOKUP(F270,Fee_Tiers!$B$4:$E$5,2,FALSE),0)</f>
        <v/>
      </c>
      <c r="M270" s="2">
        <f>IF(AND(E270&gt;500,K270&lt;&gt;"East"),"High-Value Merchant Day",IF(AND(E270&gt;500,K270="East"),"High-Value East (Excluded)",IF(E270&lt;=500,"Standard","Unknown")))</f>
        <v/>
      </c>
    </row>
    <row r="271">
      <c r="A271" s="2" t="inlineStr">
        <is>
          <t>TXN100269</t>
        </is>
      </c>
      <c r="B271" s="2" t="n">
        <v>231</v>
      </c>
      <c r="C271" s="2" t="n">
        <v>33</v>
      </c>
      <c r="D271" s="2" t="inlineStr">
        <is>
          <t>2026-01-03 05:17:00</t>
        </is>
      </c>
      <c r="E271" s="2" t="n">
        <v>149</v>
      </c>
      <c r="F271" s="2" t="inlineStr">
        <is>
          <t>UPI</t>
        </is>
      </c>
      <c r="G271" s="2" t="inlineStr">
        <is>
          <t>failed</t>
        </is>
      </c>
      <c r="H271" s="2" t="n">
        <v>18</v>
      </c>
      <c r="I271" s="2">
        <f>IFERROR(VLOOKUP(C271,Merchants!$A$2:$D$41,2,FALSE),"Merchant not found")</f>
        <v/>
      </c>
      <c r="J271" s="2">
        <f>IFERROR(VLOOKUP(C271,Merchants!$A$2:$D$41,3,FALSE),"Merchant not found")</f>
        <v/>
      </c>
      <c r="K271" s="2">
        <f>IFERROR(VLOOKUP(C271,Merchants!$A$2:$D$41,4,FALSE),"Merchant not found")</f>
        <v/>
      </c>
      <c r="L271" s="2">
        <f>IFERROR(HLOOKUP(F271,Fee_Tiers!$B$4:$E$5,2,FALSE),0)</f>
        <v/>
      </c>
      <c r="M271" s="2">
        <f>IF(AND(E271&gt;500,K271&lt;&gt;"East"),"High-Value Merchant Day",IF(AND(E271&gt;500,K271="East"),"High-Value East (Excluded)",IF(E271&lt;=500,"Standard","Unknown")))</f>
        <v/>
      </c>
    </row>
    <row r="272">
      <c r="A272" s="2" t="inlineStr">
        <is>
          <t>TXN100270</t>
        </is>
      </c>
      <c r="B272" s="2" t="n">
        <v>114</v>
      </c>
      <c r="C272" s="2" t="n">
        <v>29</v>
      </c>
      <c r="D272" s="2" t="inlineStr">
        <is>
          <t>2026-01-27 13:05:00</t>
        </is>
      </c>
      <c r="E272" s="2" t="n">
        <v>799</v>
      </c>
      <c r="F272" s="2" t="inlineStr">
        <is>
          <t>UPI</t>
        </is>
      </c>
      <c r="G272" s="2" t="inlineStr">
        <is>
          <t>chargeback</t>
        </is>
      </c>
      <c r="H272" s="2" t="n">
        <v>44</v>
      </c>
      <c r="I272" s="2">
        <f>IFERROR(VLOOKUP(C272,Merchants!$A$2:$D$41,2,FALSE),"Merchant not found")</f>
        <v/>
      </c>
      <c r="J272" s="2">
        <f>IFERROR(VLOOKUP(C272,Merchants!$A$2:$D$41,3,FALSE),"Merchant not found")</f>
        <v/>
      </c>
      <c r="K272" s="2">
        <f>IFERROR(VLOOKUP(C272,Merchants!$A$2:$D$41,4,FALSE),"Merchant not found")</f>
        <v/>
      </c>
      <c r="L272" s="2">
        <f>IFERROR(HLOOKUP(F272,Fee_Tiers!$B$4:$E$5,2,FALSE),0)</f>
        <v/>
      </c>
      <c r="M272" s="2">
        <f>IF(AND(E272&gt;500,K272&lt;&gt;"East"),"High-Value Merchant Day",IF(AND(E272&gt;500,K272="East"),"High-Value East (Excluded)",IF(E272&lt;=500,"Standard","Unknown")))</f>
        <v/>
      </c>
    </row>
    <row r="273">
      <c r="A273" s="2" t="inlineStr">
        <is>
          <t>TXN100271</t>
        </is>
      </c>
      <c r="B273" s="2" t="n">
        <v>28</v>
      </c>
      <c r="C273" s="2" t="n">
        <v>26</v>
      </c>
      <c r="D273" s="2" t="inlineStr">
        <is>
          <t>2026-01-30 00:26:00</t>
        </is>
      </c>
      <c r="E273" s="2" t="n">
        <v>1499</v>
      </c>
      <c r="F273" s="2" t="inlineStr">
        <is>
          <t>UPI</t>
        </is>
      </c>
      <c r="G273" s="2" t="inlineStr">
        <is>
          <t>failed</t>
        </is>
      </c>
      <c r="H273" s="2" t="n">
        <v>64</v>
      </c>
      <c r="I273" s="2">
        <f>IFERROR(VLOOKUP(C273,Merchants!$A$2:$D$41,2,FALSE),"Merchant not found")</f>
        <v/>
      </c>
      <c r="J273" s="2">
        <f>IFERROR(VLOOKUP(C273,Merchants!$A$2:$D$41,3,FALSE),"Merchant not found")</f>
        <v/>
      </c>
      <c r="K273" s="2">
        <f>IFERROR(VLOOKUP(C273,Merchants!$A$2:$D$41,4,FALSE),"Merchant not found")</f>
        <v/>
      </c>
      <c r="L273" s="2">
        <f>IFERROR(HLOOKUP(F273,Fee_Tiers!$B$4:$E$5,2,FALSE),0)</f>
        <v/>
      </c>
      <c r="M273" s="2">
        <f>IF(AND(E273&gt;500,K273&lt;&gt;"East"),"High-Value Merchant Day",IF(AND(E273&gt;500,K273="East"),"High-Value East (Excluded)",IF(E273&lt;=500,"Standard","Unknown")))</f>
        <v/>
      </c>
    </row>
    <row r="274">
      <c r="A274" s="2" t="inlineStr">
        <is>
          <t>TXN100272</t>
        </is>
      </c>
      <c r="B274" s="2" t="n">
        <v>42</v>
      </c>
      <c r="C274" s="2" t="n">
        <v>24</v>
      </c>
      <c r="D274" s="2" t="inlineStr">
        <is>
          <t>2026-01-12 07:24:00</t>
        </is>
      </c>
      <c r="E274" s="2" t="n">
        <v>149</v>
      </c>
      <c r="F274" s="2" t="inlineStr">
        <is>
          <t>UPI</t>
        </is>
      </c>
      <c r="G274" s="2" t="inlineStr">
        <is>
          <t>captured</t>
        </is>
      </c>
      <c r="H274" s="2" t="n">
        <v>28</v>
      </c>
      <c r="I274" s="2">
        <f>IFERROR(VLOOKUP(C274,Merchants!$A$2:$D$41,2,FALSE),"Merchant not found")</f>
        <v/>
      </c>
      <c r="J274" s="2">
        <f>IFERROR(VLOOKUP(C274,Merchants!$A$2:$D$41,3,FALSE),"Merchant not found")</f>
        <v/>
      </c>
      <c r="K274" s="2">
        <f>IFERROR(VLOOKUP(C274,Merchants!$A$2:$D$41,4,FALSE),"Merchant not found")</f>
        <v/>
      </c>
      <c r="L274" s="2">
        <f>IFERROR(HLOOKUP(F274,Fee_Tiers!$B$4:$E$5,2,FALSE),0)</f>
        <v/>
      </c>
      <c r="M274" s="2">
        <f>IF(AND(E274&gt;500,K274&lt;&gt;"East"),"High-Value Merchant Day",IF(AND(E274&gt;500,K274="East"),"High-Value East (Excluded)",IF(E274&lt;=500,"Standard","Unknown")))</f>
        <v/>
      </c>
    </row>
    <row r="275">
      <c r="A275" s="2" t="inlineStr">
        <is>
          <t>TXN100273</t>
        </is>
      </c>
      <c r="B275" s="2" t="n">
        <v>51</v>
      </c>
      <c r="C275" s="2" t="n">
        <v>22</v>
      </c>
      <c r="D275" s="2" t="inlineStr">
        <is>
          <t>2026-01-01 10:59:00</t>
        </is>
      </c>
      <c r="E275" s="2" t="n">
        <v>799</v>
      </c>
      <c r="F275" s="2" t="inlineStr">
        <is>
          <t>UPI</t>
        </is>
      </c>
      <c r="G275" s="2" t="inlineStr">
        <is>
          <t>captured</t>
        </is>
      </c>
      <c r="H275" s="2" t="n">
        <v>18</v>
      </c>
      <c r="I275" s="2">
        <f>IFERROR(VLOOKUP(C275,Merchants!$A$2:$D$41,2,FALSE),"Merchant not found")</f>
        <v/>
      </c>
      <c r="J275" s="2">
        <f>IFERROR(VLOOKUP(C275,Merchants!$A$2:$D$41,3,FALSE),"Merchant not found")</f>
        <v/>
      </c>
      <c r="K275" s="2">
        <f>IFERROR(VLOOKUP(C275,Merchants!$A$2:$D$41,4,FALSE),"Merchant not found")</f>
        <v/>
      </c>
      <c r="L275" s="2">
        <f>IFERROR(HLOOKUP(F275,Fee_Tiers!$B$4:$E$5,2,FALSE),0)</f>
        <v/>
      </c>
      <c r="M275" s="2">
        <f>IF(AND(E275&gt;500,K275&lt;&gt;"East"),"High-Value Merchant Day",IF(AND(E275&gt;500,K275="East"),"High-Value East (Excluded)",IF(E275&lt;=500,"Standard","Unknown")))</f>
        <v/>
      </c>
    </row>
    <row r="276">
      <c r="A276" s="2" t="inlineStr">
        <is>
          <t>TXN100274</t>
        </is>
      </c>
      <c r="B276" s="2" t="n">
        <v>242</v>
      </c>
      <c r="C276" s="2" t="n">
        <v>9</v>
      </c>
      <c r="D276" s="2" t="inlineStr">
        <is>
          <t>2026-01-05 01:18:00</t>
        </is>
      </c>
      <c r="E276" s="2" t="n">
        <v>149</v>
      </c>
      <c r="F276" s="2" t="inlineStr">
        <is>
          <t>UPI</t>
        </is>
      </c>
      <c r="G276" s="2" t="inlineStr">
        <is>
          <t>captured</t>
        </is>
      </c>
      <c r="H276" s="2" t="n">
        <v>97</v>
      </c>
      <c r="I276" s="2">
        <f>IFERROR(VLOOKUP(C276,Merchants!$A$2:$D$41,2,FALSE),"Merchant not found")</f>
        <v/>
      </c>
      <c r="J276" s="2">
        <f>IFERROR(VLOOKUP(C276,Merchants!$A$2:$D$41,3,FALSE),"Merchant not found")</f>
        <v/>
      </c>
      <c r="K276" s="2">
        <f>IFERROR(VLOOKUP(C276,Merchants!$A$2:$D$41,4,FALSE),"Merchant not found")</f>
        <v/>
      </c>
      <c r="L276" s="2">
        <f>IFERROR(HLOOKUP(F276,Fee_Tiers!$B$4:$E$5,2,FALSE),0)</f>
        <v/>
      </c>
      <c r="M276" s="2">
        <f>IF(AND(E276&gt;500,K276&lt;&gt;"East"),"High-Value Merchant Day",IF(AND(E276&gt;500,K276="East"),"High-Value East (Excluded)",IF(E276&lt;=500,"Standard","Unknown")))</f>
        <v/>
      </c>
    </row>
    <row r="277">
      <c r="A277" s="2" t="inlineStr">
        <is>
          <t>TXN100275</t>
        </is>
      </c>
      <c r="B277" s="2" t="n">
        <v>316</v>
      </c>
      <c r="C277" s="2" t="n">
        <v>1</v>
      </c>
      <c r="D277" s="2" t="inlineStr">
        <is>
          <t>2026-01-23 15:28:00</t>
        </is>
      </c>
      <c r="E277" s="2" t="n">
        <v>149</v>
      </c>
      <c r="F277" s="2" t="inlineStr">
        <is>
          <t>UPI</t>
        </is>
      </c>
      <c r="G277" s="2" t="inlineStr">
        <is>
          <t>captured</t>
        </is>
      </c>
      <c r="H277" s="2" t="n">
        <v>10</v>
      </c>
      <c r="I277" s="2">
        <f>IFERROR(VLOOKUP(C277,Merchants!$A$2:$D$41,2,FALSE),"Merchant not found")</f>
        <v/>
      </c>
      <c r="J277" s="2">
        <f>IFERROR(VLOOKUP(C277,Merchants!$A$2:$D$41,3,FALSE),"Merchant not found")</f>
        <v/>
      </c>
      <c r="K277" s="2">
        <f>IFERROR(VLOOKUP(C277,Merchants!$A$2:$D$41,4,FALSE),"Merchant not found")</f>
        <v/>
      </c>
      <c r="L277" s="2">
        <f>IFERROR(HLOOKUP(F277,Fee_Tiers!$B$4:$E$5,2,FALSE),0)</f>
        <v/>
      </c>
      <c r="M277" s="2">
        <f>IF(AND(E277&gt;500,K277&lt;&gt;"East"),"High-Value Merchant Day",IF(AND(E277&gt;500,K277="East"),"High-Value East (Excluded)",IF(E277&lt;=500,"Standard","Unknown")))</f>
        <v/>
      </c>
    </row>
    <row r="278">
      <c r="A278" s="2" t="inlineStr">
        <is>
          <t>TXN100276</t>
        </is>
      </c>
      <c r="B278" s="2" t="n">
        <v>77</v>
      </c>
      <c r="C278" s="2" t="n">
        <v>36</v>
      </c>
      <c r="D278" s="2" t="inlineStr">
        <is>
          <t>2026-01-01 08:13:00</t>
        </is>
      </c>
      <c r="E278" s="2" t="n">
        <v>149</v>
      </c>
      <c r="F278" s="2" t="inlineStr">
        <is>
          <t>UPI</t>
        </is>
      </c>
      <c r="G278" s="2" t="inlineStr">
        <is>
          <t>captured</t>
        </is>
      </c>
      <c r="H278" s="2" t="n">
        <v>93</v>
      </c>
      <c r="I278" s="2">
        <f>IFERROR(VLOOKUP(C278,Merchants!$A$2:$D$41,2,FALSE),"Merchant not found")</f>
        <v/>
      </c>
      <c r="J278" s="2">
        <f>IFERROR(VLOOKUP(C278,Merchants!$A$2:$D$41,3,FALSE),"Merchant not found")</f>
        <v/>
      </c>
      <c r="K278" s="2">
        <f>IFERROR(VLOOKUP(C278,Merchants!$A$2:$D$41,4,FALSE),"Merchant not found")</f>
        <v/>
      </c>
      <c r="L278" s="2">
        <f>IFERROR(HLOOKUP(F278,Fee_Tiers!$B$4:$E$5,2,FALSE),0)</f>
        <v/>
      </c>
      <c r="M278" s="2">
        <f>IF(AND(E278&gt;500,K278&lt;&gt;"East"),"High-Value Merchant Day",IF(AND(E278&gt;500,K278="East"),"High-Value East (Excluded)",IF(E278&lt;=500,"Standard","Unknown")))</f>
        <v/>
      </c>
    </row>
    <row r="279">
      <c r="A279" s="2" t="inlineStr">
        <is>
          <t>TXN100277</t>
        </is>
      </c>
      <c r="B279" s="2" t="n">
        <v>57</v>
      </c>
      <c r="C279" s="2" t="n">
        <v>19</v>
      </c>
      <c r="D279" s="2" t="inlineStr">
        <is>
          <t>2026-01-20 16:27:00</t>
        </is>
      </c>
      <c r="E279" s="2" t="n">
        <v>49</v>
      </c>
      <c r="F279" s="2" t="inlineStr">
        <is>
          <t>UPI</t>
        </is>
      </c>
      <c r="G279" s="2" t="inlineStr">
        <is>
          <t>captured</t>
        </is>
      </c>
      <c r="H279" s="2" t="n">
        <v>30</v>
      </c>
      <c r="I279" s="2">
        <f>IFERROR(VLOOKUP(C279,Merchants!$A$2:$D$41,2,FALSE),"Merchant not found")</f>
        <v/>
      </c>
      <c r="J279" s="2">
        <f>IFERROR(VLOOKUP(C279,Merchants!$A$2:$D$41,3,FALSE),"Merchant not found")</f>
        <v/>
      </c>
      <c r="K279" s="2">
        <f>IFERROR(VLOOKUP(C279,Merchants!$A$2:$D$41,4,FALSE),"Merchant not found")</f>
        <v/>
      </c>
      <c r="L279" s="2">
        <f>IFERROR(HLOOKUP(F279,Fee_Tiers!$B$4:$E$5,2,FALSE),0)</f>
        <v/>
      </c>
      <c r="M279" s="2">
        <f>IF(AND(E279&gt;500,K279&lt;&gt;"East"),"High-Value Merchant Day",IF(AND(E279&gt;500,K279="East"),"High-Value East (Excluded)",IF(E279&lt;=500,"Standard","Unknown")))</f>
        <v/>
      </c>
    </row>
    <row r="280">
      <c r="A280" s="2" t="inlineStr">
        <is>
          <t>TXN100278</t>
        </is>
      </c>
      <c r="B280" s="2" t="n">
        <v>123</v>
      </c>
      <c r="C280" s="2" t="n">
        <v>27</v>
      </c>
      <c r="D280" s="2" t="inlineStr">
        <is>
          <t>2026-01-10 03:03:00</t>
        </is>
      </c>
      <c r="E280" s="2" t="n">
        <v>149</v>
      </c>
      <c r="F280" s="2" t="inlineStr">
        <is>
          <t>Netbanking</t>
        </is>
      </c>
      <c r="G280" s="2" t="inlineStr">
        <is>
          <t>captured</t>
        </is>
      </c>
      <c r="H280" s="2" t="n">
        <v>81</v>
      </c>
      <c r="I280" s="2">
        <f>IFERROR(VLOOKUP(C280,Merchants!$A$2:$D$41,2,FALSE),"Merchant not found")</f>
        <v/>
      </c>
      <c r="J280" s="2">
        <f>IFERROR(VLOOKUP(C280,Merchants!$A$2:$D$41,3,FALSE),"Merchant not found")</f>
        <v/>
      </c>
      <c r="K280" s="2">
        <f>IFERROR(VLOOKUP(C280,Merchants!$A$2:$D$41,4,FALSE),"Merchant not found")</f>
        <v/>
      </c>
      <c r="L280" s="2">
        <f>IFERROR(HLOOKUP(F280,Fee_Tiers!$B$4:$E$5,2,FALSE),0)</f>
        <v/>
      </c>
      <c r="M280" s="2">
        <f>IF(AND(E280&gt;500,K280&lt;&gt;"East"),"High-Value Merchant Day",IF(AND(E280&gt;500,K280="East"),"High-Value East (Excluded)",IF(E280&lt;=500,"Standard","Unknown")))</f>
        <v/>
      </c>
    </row>
    <row r="281">
      <c r="A281" s="2" t="inlineStr">
        <is>
          <t>TXN100279</t>
        </is>
      </c>
      <c r="B281" s="2" t="n">
        <v>33</v>
      </c>
      <c r="C281" s="2" t="n">
        <v>8</v>
      </c>
      <c r="D281" s="2" t="inlineStr">
        <is>
          <t>2026-01-26 19:29:00</t>
        </is>
      </c>
      <c r="E281" s="2" t="n">
        <v>299</v>
      </c>
      <c r="F281" s="2" t="inlineStr">
        <is>
          <t>Wallet</t>
        </is>
      </c>
      <c r="G281" s="2" t="inlineStr">
        <is>
          <t>captured</t>
        </is>
      </c>
      <c r="H281" s="2" t="n">
        <v>63</v>
      </c>
      <c r="I281" s="2">
        <f>IFERROR(VLOOKUP(C281,Merchants!$A$2:$D$41,2,FALSE),"Merchant not found")</f>
        <v/>
      </c>
      <c r="J281" s="2">
        <f>IFERROR(VLOOKUP(C281,Merchants!$A$2:$D$41,3,FALSE),"Merchant not found")</f>
        <v/>
      </c>
      <c r="K281" s="2">
        <f>IFERROR(VLOOKUP(C281,Merchants!$A$2:$D$41,4,FALSE),"Merchant not found")</f>
        <v/>
      </c>
      <c r="L281" s="2">
        <f>IFERROR(HLOOKUP(F281,Fee_Tiers!$B$4:$E$5,2,FALSE),0)</f>
        <v/>
      </c>
      <c r="M281" s="2">
        <f>IF(AND(E281&gt;500,K281&lt;&gt;"East"),"High-Value Merchant Day",IF(AND(E281&gt;500,K281="East"),"High-Value East (Excluded)",IF(E281&lt;=500,"Standard","Unknown")))</f>
        <v/>
      </c>
    </row>
    <row r="282">
      <c r="A282" s="2" t="inlineStr">
        <is>
          <t>TXN100280</t>
        </is>
      </c>
      <c r="B282" s="2" t="n">
        <v>324</v>
      </c>
      <c r="C282" s="2" t="n">
        <v>33</v>
      </c>
      <c r="D282" s="2" t="inlineStr">
        <is>
          <t>2026-01-20 17:01:00</t>
        </is>
      </c>
      <c r="E282" s="2" t="n">
        <v>499</v>
      </c>
      <c r="F282" s="2" t="inlineStr">
        <is>
          <t>UPI</t>
        </is>
      </c>
      <c r="G282" s="2" t="inlineStr">
        <is>
          <t>captured</t>
        </is>
      </c>
      <c r="H282" s="2" t="n">
        <v>73</v>
      </c>
      <c r="I282" s="2">
        <f>IFERROR(VLOOKUP(C282,Merchants!$A$2:$D$41,2,FALSE),"Merchant not found")</f>
        <v/>
      </c>
      <c r="J282" s="2">
        <f>IFERROR(VLOOKUP(C282,Merchants!$A$2:$D$41,3,FALSE),"Merchant not found")</f>
        <v/>
      </c>
      <c r="K282" s="2">
        <f>IFERROR(VLOOKUP(C282,Merchants!$A$2:$D$41,4,FALSE),"Merchant not found")</f>
        <v/>
      </c>
      <c r="L282" s="2">
        <f>IFERROR(HLOOKUP(F282,Fee_Tiers!$B$4:$E$5,2,FALSE),0)</f>
        <v/>
      </c>
      <c r="M282" s="2">
        <f>IF(AND(E282&gt;500,K282&lt;&gt;"East"),"High-Value Merchant Day",IF(AND(E282&gt;500,K282="East"),"High-Value East (Excluded)",IF(E282&lt;=500,"Standard","Unknown")))</f>
        <v/>
      </c>
    </row>
    <row r="283">
      <c r="A283" s="2" t="inlineStr">
        <is>
          <t>TXN100281</t>
        </is>
      </c>
      <c r="B283" s="2" t="n">
        <v>150</v>
      </c>
      <c r="C283" s="2" t="n">
        <v>28</v>
      </c>
      <c r="D283" s="2" t="inlineStr">
        <is>
          <t>2026-01-08 22:09:00</t>
        </is>
      </c>
      <c r="E283" s="2" t="n">
        <v>49</v>
      </c>
      <c r="F283" s="2" t="inlineStr">
        <is>
          <t>UPI</t>
        </is>
      </c>
      <c r="G283" s="2" t="inlineStr">
        <is>
          <t>failed</t>
        </is>
      </c>
      <c r="H283" s="2" t="n">
        <v>0</v>
      </c>
      <c r="I283" s="2">
        <f>IFERROR(VLOOKUP(C283,Merchants!$A$2:$D$41,2,FALSE),"Merchant not found")</f>
        <v/>
      </c>
      <c r="J283" s="2">
        <f>IFERROR(VLOOKUP(C283,Merchants!$A$2:$D$41,3,FALSE),"Merchant not found")</f>
        <v/>
      </c>
      <c r="K283" s="2">
        <f>IFERROR(VLOOKUP(C283,Merchants!$A$2:$D$41,4,FALSE),"Merchant not found")</f>
        <v/>
      </c>
      <c r="L283" s="2">
        <f>IFERROR(HLOOKUP(F283,Fee_Tiers!$B$4:$E$5,2,FALSE),0)</f>
        <v/>
      </c>
      <c r="M283" s="2">
        <f>IF(AND(E283&gt;500,K283&lt;&gt;"East"),"High-Value Merchant Day",IF(AND(E283&gt;500,K283="East"),"High-Value East (Excluded)",IF(E283&lt;=500,"Standard","Unknown")))</f>
        <v/>
      </c>
    </row>
    <row r="284">
      <c r="A284" s="2" t="inlineStr">
        <is>
          <t>TXN100282</t>
        </is>
      </c>
      <c r="B284" s="2" t="n">
        <v>293</v>
      </c>
      <c r="C284" s="2" t="n">
        <v>27</v>
      </c>
      <c r="D284" s="2" t="inlineStr">
        <is>
          <t>2026-01-20 11:15:00</t>
        </is>
      </c>
      <c r="E284" s="2" t="n">
        <v>4999</v>
      </c>
      <c r="F284" s="2" t="inlineStr">
        <is>
          <t>UPI</t>
        </is>
      </c>
      <c r="G284" s="2" t="inlineStr">
        <is>
          <t>captured</t>
        </is>
      </c>
      <c r="H284" s="2" t="n">
        <v>23</v>
      </c>
      <c r="I284" s="2">
        <f>IFERROR(VLOOKUP(C284,Merchants!$A$2:$D$41,2,FALSE),"Merchant not found")</f>
        <v/>
      </c>
      <c r="J284" s="2">
        <f>IFERROR(VLOOKUP(C284,Merchants!$A$2:$D$41,3,FALSE),"Merchant not found")</f>
        <v/>
      </c>
      <c r="K284" s="2">
        <f>IFERROR(VLOOKUP(C284,Merchants!$A$2:$D$41,4,FALSE),"Merchant not found")</f>
        <v/>
      </c>
      <c r="L284" s="2">
        <f>IFERROR(HLOOKUP(F284,Fee_Tiers!$B$4:$E$5,2,FALSE),0)</f>
        <v/>
      </c>
      <c r="M284" s="2">
        <f>IF(AND(E284&gt;500,K284&lt;&gt;"East"),"High-Value Merchant Day",IF(AND(E284&gt;500,K284="East"),"High-Value East (Excluded)",IF(E284&lt;=500,"Standard","Unknown")))</f>
        <v/>
      </c>
    </row>
    <row r="285">
      <c r="A285" s="2" t="inlineStr">
        <is>
          <t>TXN100283</t>
        </is>
      </c>
      <c r="B285" s="2" t="n">
        <v>269</v>
      </c>
      <c r="C285" s="2" t="n">
        <v>24</v>
      </c>
      <c r="D285" s="2" t="inlineStr">
        <is>
          <t>2026-01-22 21:05:00</t>
        </is>
      </c>
      <c r="E285" s="2" t="n">
        <v>49</v>
      </c>
      <c r="F285" s="2" t="inlineStr">
        <is>
          <t>Wallet</t>
        </is>
      </c>
      <c r="G285" s="2" t="inlineStr">
        <is>
          <t>captured</t>
        </is>
      </c>
      <c r="H285" s="2" t="n">
        <v>8</v>
      </c>
      <c r="I285" s="2">
        <f>IFERROR(VLOOKUP(C285,Merchants!$A$2:$D$41,2,FALSE),"Merchant not found")</f>
        <v/>
      </c>
      <c r="J285" s="2">
        <f>IFERROR(VLOOKUP(C285,Merchants!$A$2:$D$41,3,FALSE),"Merchant not found")</f>
        <v/>
      </c>
      <c r="K285" s="2">
        <f>IFERROR(VLOOKUP(C285,Merchants!$A$2:$D$41,4,FALSE),"Merchant not found")</f>
        <v/>
      </c>
      <c r="L285" s="2">
        <f>IFERROR(HLOOKUP(F285,Fee_Tiers!$B$4:$E$5,2,FALSE),0)</f>
        <v/>
      </c>
      <c r="M285" s="2">
        <f>IF(AND(E285&gt;500,K285&lt;&gt;"East"),"High-Value Merchant Day",IF(AND(E285&gt;500,K285="East"),"High-Value East (Excluded)",IF(E285&lt;=500,"Standard","Unknown")))</f>
        <v/>
      </c>
    </row>
    <row r="286">
      <c r="A286" s="2" t="inlineStr">
        <is>
          <t>TXN100284</t>
        </is>
      </c>
      <c r="B286" s="2" t="n">
        <v>260</v>
      </c>
      <c r="C286" s="2" t="n">
        <v>36</v>
      </c>
      <c r="D286" s="2" t="inlineStr">
        <is>
          <t>2026-01-17 17:32:00</t>
        </is>
      </c>
      <c r="E286" s="2" t="n">
        <v>1499</v>
      </c>
      <c r="F286" s="2" t="inlineStr">
        <is>
          <t>UPI</t>
        </is>
      </c>
      <c r="G286" s="2" t="inlineStr">
        <is>
          <t>captured</t>
        </is>
      </c>
      <c r="H286" s="2" t="n">
        <v>2</v>
      </c>
      <c r="I286" s="2">
        <f>IFERROR(VLOOKUP(C286,Merchants!$A$2:$D$41,2,FALSE),"Merchant not found")</f>
        <v/>
      </c>
      <c r="J286" s="2">
        <f>IFERROR(VLOOKUP(C286,Merchants!$A$2:$D$41,3,FALSE),"Merchant not found")</f>
        <v/>
      </c>
      <c r="K286" s="2">
        <f>IFERROR(VLOOKUP(C286,Merchants!$A$2:$D$41,4,FALSE),"Merchant not found")</f>
        <v/>
      </c>
      <c r="L286" s="2">
        <f>IFERROR(HLOOKUP(F286,Fee_Tiers!$B$4:$E$5,2,FALSE),0)</f>
        <v/>
      </c>
      <c r="M286" s="2">
        <f>IF(AND(E286&gt;500,K286&lt;&gt;"East"),"High-Value Merchant Day",IF(AND(E286&gt;500,K286="East"),"High-Value East (Excluded)",IF(E286&lt;=500,"Standard","Unknown")))</f>
        <v/>
      </c>
    </row>
    <row r="287">
      <c r="A287" s="2" t="inlineStr">
        <is>
          <t>TXN100285</t>
        </is>
      </c>
      <c r="B287" s="2" t="n">
        <v>326</v>
      </c>
      <c r="C287" s="2" t="n">
        <v>25</v>
      </c>
      <c r="D287" s="2" t="inlineStr">
        <is>
          <t>2026-01-13 15:02:00</t>
        </is>
      </c>
      <c r="E287" s="2" t="n">
        <v>49</v>
      </c>
      <c r="F287" s="2" t="inlineStr">
        <is>
          <t>UPI</t>
        </is>
      </c>
      <c r="G287" s="2" t="inlineStr">
        <is>
          <t>captured</t>
        </is>
      </c>
      <c r="H287" s="2" t="n">
        <v>47</v>
      </c>
      <c r="I287" s="2">
        <f>IFERROR(VLOOKUP(C287,Merchants!$A$2:$D$41,2,FALSE),"Merchant not found")</f>
        <v/>
      </c>
      <c r="J287" s="2">
        <f>IFERROR(VLOOKUP(C287,Merchants!$A$2:$D$41,3,FALSE),"Merchant not found")</f>
        <v/>
      </c>
      <c r="K287" s="2">
        <f>IFERROR(VLOOKUP(C287,Merchants!$A$2:$D$41,4,FALSE),"Merchant not found")</f>
        <v/>
      </c>
      <c r="L287" s="2">
        <f>IFERROR(HLOOKUP(F287,Fee_Tiers!$B$4:$E$5,2,FALSE),0)</f>
        <v/>
      </c>
      <c r="M287" s="2">
        <f>IF(AND(E287&gt;500,K287&lt;&gt;"East"),"High-Value Merchant Day",IF(AND(E287&gt;500,K287="East"),"High-Value East (Excluded)",IF(E287&lt;=500,"Standard","Unknown")))</f>
        <v/>
      </c>
    </row>
    <row r="288">
      <c r="A288" s="2" t="inlineStr">
        <is>
          <t>TXN100286</t>
        </is>
      </c>
      <c r="B288" s="2" t="n">
        <v>183</v>
      </c>
      <c r="C288" s="2" t="n">
        <v>5</v>
      </c>
      <c r="D288" s="2" t="inlineStr">
        <is>
          <t>2026-01-09 23:01:00</t>
        </is>
      </c>
      <c r="E288" s="2" t="n">
        <v>49</v>
      </c>
      <c r="F288" s="2" t="inlineStr">
        <is>
          <t>Card</t>
        </is>
      </c>
      <c r="G288" s="2" t="inlineStr">
        <is>
          <t>captured</t>
        </is>
      </c>
      <c r="H288" s="2" t="n">
        <v>44</v>
      </c>
      <c r="I288" s="2">
        <f>IFERROR(VLOOKUP(C288,Merchants!$A$2:$D$41,2,FALSE),"Merchant not found")</f>
        <v/>
      </c>
      <c r="J288" s="2">
        <f>IFERROR(VLOOKUP(C288,Merchants!$A$2:$D$41,3,FALSE),"Merchant not found")</f>
        <v/>
      </c>
      <c r="K288" s="2">
        <f>IFERROR(VLOOKUP(C288,Merchants!$A$2:$D$41,4,FALSE),"Merchant not found")</f>
        <v/>
      </c>
      <c r="L288" s="2">
        <f>IFERROR(HLOOKUP(F288,Fee_Tiers!$B$4:$E$5,2,FALSE),0)</f>
        <v/>
      </c>
      <c r="M288" s="2">
        <f>IF(AND(E288&gt;500,K288&lt;&gt;"East"),"High-Value Merchant Day",IF(AND(E288&gt;500,K288="East"),"High-Value East (Excluded)",IF(E288&lt;=500,"Standard","Unknown")))</f>
        <v/>
      </c>
    </row>
    <row r="289">
      <c r="A289" s="2" t="inlineStr">
        <is>
          <t>TXN100287</t>
        </is>
      </c>
      <c r="B289" s="2" t="n">
        <v>322</v>
      </c>
      <c r="C289" s="2" t="n">
        <v>7</v>
      </c>
      <c r="D289" s="2" t="inlineStr">
        <is>
          <t>2026-01-08 23:42:00</t>
        </is>
      </c>
      <c r="E289" s="2" t="n">
        <v>299</v>
      </c>
      <c r="F289" s="2" t="inlineStr">
        <is>
          <t>UPI</t>
        </is>
      </c>
      <c r="G289" s="2" t="inlineStr">
        <is>
          <t>captured</t>
        </is>
      </c>
      <c r="H289" s="2" t="n">
        <v>98</v>
      </c>
      <c r="I289" s="2">
        <f>IFERROR(VLOOKUP(C289,Merchants!$A$2:$D$41,2,FALSE),"Merchant not found")</f>
        <v/>
      </c>
      <c r="J289" s="2">
        <f>IFERROR(VLOOKUP(C289,Merchants!$A$2:$D$41,3,FALSE),"Merchant not found")</f>
        <v/>
      </c>
      <c r="K289" s="2">
        <f>IFERROR(VLOOKUP(C289,Merchants!$A$2:$D$41,4,FALSE),"Merchant not found")</f>
        <v/>
      </c>
      <c r="L289" s="2">
        <f>IFERROR(HLOOKUP(F289,Fee_Tiers!$B$4:$E$5,2,FALSE),0)</f>
        <v/>
      </c>
      <c r="M289" s="2">
        <f>IF(AND(E289&gt;500,K289&lt;&gt;"East"),"High-Value Merchant Day",IF(AND(E289&gt;500,K289="East"),"High-Value East (Excluded)",IF(E289&lt;=500,"Standard","Unknown")))</f>
        <v/>
      </c>
    </row>
    <row r="290">
      <c r="A290" s="2" t="inlineStr">
        <is>
          <t>TXN100288</t>
        </is>
      </c>
      <c r="B290" s="2" t="n">
        <v>171</v>
      </c>
      <c r="C290" s="2" t="n">
        <v>9</v>
      </c>
      <c r="D290" s="2" t="inlineStr">
        <is>
          <t>2026-01-19 23:48:00</t>
        </is>
      </c>
      <c r="E290" s="2" t="n">
        <v>299</v>
      </c>
      <c r="F290" s="2" t="inlineStr">
        <is>
          <t>UPI</t>
        </is>
      </c>
      <c r="G290" s="2" t="inlineStr">
        <is>
          <t>captured</t>
        </is>
      </c>
      <c r="H290" s="2" t="n">
        <v>5</v>
      </c>
      <c r="I290" s="2">
        <f>IFERROR(VLOOKUP(C290,Merchants!$A$2:$D$41,2,FALSE),"Merchant not found")</f>
        <v/>
      </c>
      <c r="J290" s="2">
        <f>IFERROR(VLOOKUP(C290,Merchants!$A$2:$D$41,3,FALSE),"Merchant not found")</f>
        <v/>
      </c>
      <c r="K290" s="2">
        <f>IFERROR(VLOOKUP(C290,Merchants!$A$2:$D$41,4,FALSE),"Merchant not found")</f>
        <v/>
      </c>
      <c r="L290" s="2">
        <f>IFERROR(HLOOKUP(F290,Fee_Tiers!$B$4:$E$5,2,FALSE),0)</f>
        <v/>
      </c>
      <c r="M290" s="2">
        <f>IF(AND(E290&gt;500,K290&lt;&gt;"East"),"High-Value Merchant Day",IF(AND(E290&gt;500,K290="East"),"High-Value East (Excluded)",IF(E290&lt;=500,"Standard","Unknown")))</f>
        <v/>
      </c>
    </row>
    <row r="291">
      <c r="A291" s="2" t="inlineStr">
        <is>
          <t>TXN100289</t>
        </is>
      </c>
      <c r="B291" s="2" t="n">
        <v>330</v>
      </c>
      <c r="C291" s="2" t="n">
        <v>12</v>
      </c>
      <c r="D291" s="2" t="inlineStr">
        <is>
          <t>2026-01-12 17:21:00</t>
        </is>
      </c>
      <c r="E291" s="2" t="n">
        <v>1499</v>
      </c>
      <c r="F291" s="2" t="inlineStr">
        <is>
          <t>Netbanking</t>
        </is>
      </c>
      <c r="G291" s="2" t="inlineStr">
        <is>
          <t>captured</t>
        </is>
      </c>
      <c r="H291" s="2" t="n">
        <v>99</v>
      </c>
      <c r="I291" s="2">
        <f>IFERROR(VLOOKUP(C291,Merchants!$A$2:$D$41,2,FALSE),"Merchant not found")</f>
        <v/>
      </c>
      <c r="J291" s="2">
        <f>IFERROR(VLOOKUP(C291,Merchants!$A$2:$D$41,3,FALSE),"Merchant not found")</f>
        <v/>
      </c>
      <c r="K291" s="2">
        <f>IFERROR(VLOOKUP(C291,Merchants!$A$2:$D$41,4,FALSE),"Merchant not found")</f>
        <v/>
      </c>
      <c r="L291" s="2">
        <f>IFERROR(HLOOKUP(F291,Fee_Tiers!$B$4:$E$5,2,FALSE),0)</f>
        <v/>
      </c>
      <c r="M291" s="2">
        <f>IF(AND(E291&gt;500,K291&lt;&gt;"East"),"High-Value Merchant Day",IF(AND(E291&gt;500,K291="East"),"High-Value East (Excluded)",IF(E291&lt;=500,"Standard","Unknown")))</f>
        <v/>
      </c>
    </row>
    <row r="292">
      <c r="A292" s="2" t="inlineStr">
        <is>
          <t>TXN100290</t>
        </is>
      </c>
      <c r="B292" s="2" t="n">
        <v>246</v>
      </c>
      <c r="C292" s="2" t="n">
        <v>12</v>
      </c>
      <c r="D292" s="2" t="inlineStr">
        <is>
          <t>2026-01-22 14:44:00</t>
        </is>
      </c>
      <c r="E292" s="2" t="n">
        <v>99</v>
      </c>
      <c r="F292" s="2" t="inlineStr">
        <is>
          <t>Wallet</t>
        </is>
      </c>
      <c r="G292" s="2" t="inlineStr">
        <is>
          <t>captured</t>
        </is>
      </c>
      <c r="H292" s="2" t="n">
        <v>17</v>
      </c>
      <c r="I292" s="2">
        <f>IFERROR(VLOOKUP(C292,Merchants!$A$2:$D$41,2,FALSE),"Merchant not found")</f>
        <v/>
      </c>
      <c r="J292" s="2">
        <f>IFERROR(VLOOKUP(C292,Merchants!$A$2:$D$41,3,FALSE),"Merchant not found")</f>
        <v/>
      </c>
      <c r="K292" s="2">
        <f>IFERROR(VLOOKUP(C292,Merchants!$A$2:$D$41,4,FALSE),"Merchant not found")</f>
        <v/>
      </c>
      <c r="L292" s="2">
        <f>IFERROR(HLOOKUP(F292,Fee_Tiers!$B$4:$E$5,2,FALSE),0)</f>
        <v/>
      </c>
      <c r="M292" s="2">
        <f>IF(AND(E292&gt;500,K292&lt;&gt;"East"),"High-Value Merchant Day",IF(AND(E292&gt;500,K292="East"),"High-Value East (Excluded)",IF(E292&lt;=500,"Standard","Unknown")))</f>
        <v/>
      </c>
    </row>
    <row r="293">
      <c r="A293" s="2" t="inlineStr">
        <is>
          <t>TXN100291</t>
        </is>
      </c>
      <c r="B293" s="2" t="n">
        <v>235</v>
      </c>
      <c r="C293" s="2" t="n">
        <v>3</v>
      </c>
      <c r="D293" s="2" t="inlineStr">
        <is>
          <t>2026-01-03 22:49:00</t>
        </is>
      </c>
      <c r="E293" s="2" t="n">
        <v>49</v>
      </c>
      <c r="F293" s="2" t="inlineStr">
        <is>
          <t>UPI</t>
        </is>
      </c>
      <c r="G293" s="2" t="inlineStr">
        <is>
          <t>captured</t>
        </is>
      </c>
      <c r="H293" s="2" t="n">
        <v>37</v>
      </c>
      <c r="I293" s="2">
        <f>IFERROR(VLOOKUP(C293,Merchants!$A$2:$D$41,2,FALSE),"Merchant not found")</f>
        <v/>
      </c>
      <c r="J293" s="2">
        <f>IFERROR(VLOOKUP(C293,Merchants!$A$2:$D$41,3,FALSE),"Merchant not found")</f>
        <v/>
      </c>
      <c r="K293" s="2">
        <f>IFERROR(VLOOKUP(C293,Merchants!$A$2:$D$41,4,FALSE),"Merchant not found")</f>
        <v/>
      </c>
      <c r="L293" s="2">
        <f>IFERROR(HLOOKUP(F293,Fee_Tiers!$B$4:$E$5,2,FALSE),0)</f>
        <v/>
      </c>
      <c r="M293" s="2">
        <f>IF(AND(E293&gt;500,K293&lt;&gt;"East"),"High-Value Merchant Day",IF(AND(E293&gt;500,K293="East"),"High-Value East (Excluded)",IF(E293&lt;=500,"Standard","Unknown")))</f>
        <v/>
      </c>
    </row>
    <row r="294">
      <c r="A294" s="2" t="inlineStr">
        <is>
          <t>TXN100292</t>
        </is>
      </c>
      <c r="B294" s="2" t="n">
        <v>103</v>
      </c>
      <c r="C294" s="2" t="n">
        <v>3</v>
      </c>
      <c r="D294" s="2" t="inlineStr">
        <is>
          <t>2026-01-07 01:50:00</t>
        </is>
      </c>
      <c r="E294" s="2" t="n">
        <v>499</v>
      </c>
      <c r="F294" s="2" t="inlineStr">
        <is>
          <t>UPI</t>
        </is>
      </c>
      <c r="G294" s="2" t="inlineStr">
        <is>
          <t>captured</t>
        </is>
      </c>
      <c r="H294" s="2" t="n">
        <v>40</v>
      </c>
      <c r="I294" s="2">
        <f>IFERROR(VLOOKUP(C294,Merchants!$A$2:$D$41,2,FALSE),"Merchant not found")</f>
        <v/>
      </c>
      <c r="J294" s="2">
        <f>IFERROR(VLOOKUP(C294,Merchants!$A$2:$D$41,3,FALSE),"Merchant not found")</f>
        <v/>
      </c>
      <c r="K294" s="2">
        <f>IFERROR(VLOOKUP(C294,Merchants!$A$2:$D$41,4,FALSE),"Merchant not found")</f>
        <v/>
      </c>
      <c r="L294" s="2">
        <f>IFERROR(HLOOKUP(F294,Fee_Tiers!$B$4:$E$5,2,FALSE),0)</f>
        <v/>
      </c>
      <c r="M294" s="2">
        <f>IF(AND(E294&gt;500,K294&lt;&gt;"East"),"High-Value Merchant Day",IF(AND(E294&gt;500,K294="East"),"High-Value East (Excluded)",IF(E294&lt;=500,"Standard","Unknown")))</f>
        <v/>
      </c>
    </row>
    <row r="295">
      <c r="A295" s="2" t="inlineStr">
        <is>
          <t>TXN100293</t>
        </is>
      </c>
      <c r="B295" s="2" t="n">
        <v>204</v>
      </c>
      <c r="C295" s="2" t="n">
        <v>35</v>
      </c>
      <c r="D295" s="2" t="inlineStr">
        <is>
          <t>2026-01-30 09:32:00</t>
        </is>
      </c>
      <c r="E295" s="2" t="n">
        <v>99</v>
      </c>
      <c r="F295" s="2" t="inlineStr">
        <is>
          <t>Wallet</t>
        </is>
      </c>
      <c r="G295" s="2" t="inlineStr">
        <is>
          <t>captured</t>
        </is>
      </c>
      <c r="H295" s="2" t="n">
        <v>60</v>
      </c>
      <c r="I295" s="2">
        <f>IFERROR(VLOOKUP(C295,Merchants!$A$2:$D$41,2,FALSE),"Merchant not found")</f>
        <v/>
      </c>
      <c r="J295" s="2">
        <f>IFERROR(VLOOKUP(C295,Merchants!$A$2:$D$41,3,FALSE),"Merchant not found")</f>
        <v/>
      </c>
      <c r="K295" s="2">
        <f>IFERROR(VLOOKUP(C295,Merchants!$A$2:$D$41,4,FALSE),"Merchant not found")</f>
        <v/>
      </c>
      <c r="L295" s="2">
        <f>IFERROR(HLOOKUP(F295,Fee_Tiers!$B$4:$E$5,2,FALSE),0)</f>
        <v/>
      </c>
      <c r="M295" s="2">
        <f>IF(AND(E295&gt;500,K295&lt;&gt;"East"),"High-Value Merchant Day",IF(AND(E295&gt;500,K295="East"),"High-Value East (Excluded)",IF(E295&lt;=500,"Standard","Unknown")))</f>
        <v/>
      </c>
    </row>
    <row r="296">
      <c r="A296" s="2" t="inlineStr">
        <is>
          <t>TXN100294</t>
        </is>
      </c>
      <c r="B296" s="2" t="n">
        <v>332</v>
      </c>
      <c r="C296" s="2" t="n">
        <v>13</v>
      </c>
      <c r="D296" s="2" t="inlineStr">
        <is>
          <t>2026-01-09 01:48:00</t>
        </is>
      </c>
      <c r="E296" s="2" t="n">
        <v>49</v>
      </c>
      <c r="F296" s="2" t="inlineStr">
        <is>
          <t>Card</t>
        </is>
      </c>
      <c r="G296" s="2" t="inlineStr">
        <is>
          <t>captured</t>
        </is>
      </c>
      <c r="H296" s="2" t="n">
        <v>36</v>
      </c>
      <c r="I296" s="2">
        <f>IFERROR(VLOOKUP(C296,Merchants!$A$2:$D$41,2,FALSE),"Merchant not found")</f>
        <v/>
      </c>
      <c r="J296" s="2">
        <f>IFERROR(VLOOKUP(C296,Merchants!$A$2:$D$41,3,FALSE),"Merchant not found")</f>
        <v/>
      </c>
      <c r="K296" s="2">
        <f>IFERROR(VLOOKUP(C296,Merchants!$A$2:$D$41,4,FALSE),"Merchant not found")</f>
        <v/>
      </c>
      <c r="L296" s="2">
        <f>IFERROR(HLOOKUP(F296,Fee_Tiers!$B$4:$E$5,2,FALSE),0)</f>
        <v/>
      </c>
      <c r="M296" s="2">
        <f>IF(AND(E296&gt;500,K296&lt;&gt;"East"),"High-Value Merchant Day",IF(AND(E296&gt;500,K296="East"),"High-Value East (Excluded)",IF(E296&lt;=500,"Standard","Unknown")))</f>
        <v/>
      </c>
    </row>
    <row r="297">
      <c r="A297" s="2" t="inlineStr">
        <is>
          <t>TXN100295</t>
        </is>
      </c>
      <c r="B297" s="2" t="n">
        <v>336</v>
      </c>
      <c r="C297" s="2" t="n">
        <v>22</v>
      </c>
      <c r="D297" s="2" t="inlineStr">
        <is>
          <t>2026-01-12 01:55:00</t>
        </is>
      </c>
      <c r="E297" s="2" t="n">
        <v>499</v>
      </c>
      <c r="F297" s="2" t="inlineStr">
        <is>
          <t>UPI</t>
        </is>
      </c>
      <c r="G297" s="2" t="inlineStr">
        <is>
          <t>captured</t>
        </is>
      </c>
      <c r="H297" s="2" t="n">
        <v>34</v>
      </c>
      <c r="I297" s="2">
        <f>IFERROR(VLOOKUP(C297,Merchants!$A$2:$D$41,2,FALSE),"Merchant not found")</f>
        <v/>
      </c>
      <c r="J297" s="2">
        <f>IFERROR(VLOOKUP(C297,Merchants!$A$2:$D$41,3,FALSE),"Merchant not found")</f>
        <v/>
      </c>
      <c r="K297" s="2">
        <f>IFERROR(VLOOKUP(C297,Merchants!$A$2:$D$41,4,FALSE),"Merchant not found")</f>
        <v/>
      </c>
      <c r="L297" s="2">
        <f>IFERROR(HLOOKUP(F297,Fee_Tiers!$B$4:$E$5,2,FALSE),0)</f>
        <v/>
      </c>
      <c r="M297" s="2">
        <f>IF(AND(E297&gt;500,K297&lt;&gt;"East"),"High-Value Merchant Day",IF(AND(E297&gt;500,K297="East"),"High-Value East (Excluded)",IF(E297&lt;=500,"Standard","Unknown")))</f>
        <v/>
      </c>
    </row>
    <row r="298">
      <c r="A298" s="2" t="inlineStr">
        <is>
          <t>TXN100296</t>
        </is>
      </c>
      <c r="B298" s="2" t="n">
        <v>205</v>
      </c>
      <c r="C298" s="2" t="n">
        <v>29</v>
      </c>
      <c r="D298" s="2" t="inlineStr">
        <is>
          <t>2026-01-04 11:27:00</t>
        </is>
      </c>
      <c r="E298" s="2" t="n">
        <v>99</v>
      </c>
      <c r="F298" s="2" t="inlineStr">
        <is>
          <t>Wallet</t>
        </is>
      </c>
      <c r="G298" s="2" t="inlineStr">
        <is>
          <t>captured</t>
        </is>
      </c>
      <c r="H298" s="2" t="n">
        <v>49</v>
      </c>
      <c r="I298" s="2">
        <f>IFERROR(VLOOKUP(C298,Merchants!$A$2:$D$41,2,FALSE),"Merchant not found")</f>
        <v/>
      </c>
      <c r="J298" s="2">
        <f>IFERROR(VLOOKUP(C298,Merchants!$A$2:$D$41,3,FALSE),"Merchant not found")</f>
        <v/>
      </c>
      <c r="K298" s="2">
        <f>IFERROR(VLOOKUP(C298,Merchants!$A$2:$D$41,4,FALSE),"Merchant not found")</f>
        <v/>
      </c>
      <c r="L298" s="2">
        <f>IFERROR(HLOOKUP(F298,Fee_Tiers!$B$4:$E$5,2,FALSE),0)</f>
        <v/>
      </c>
      <c r="M298" s="2">
        <f>IF(AND(E298&gt;500,K298&lt;&gt;"East"),"High-Value Merchant Day",IF(AND(E298&gt;500,K298="East"),"High-Value East (Excluded)",IF(E298&lt;=500,"Standard","Unknown")))</f>
        <v/>
      </c>
    </row>
    <row r="299">
      <c r="A299" s="2" t="inlineStr">
        <is>
          <t>TXN100297</t>
        </is>
      </c>
      <c r="B299" s="2" t="n">
        <v>255</v>
      </c>
      <c r="C299" s="2" t="n">
        <v>24</v>
      </c>
      <c r="D299" s="2" t="inlineStr">
        <is>
          <t>2026-01-11 05:31:00</t>
        </is>
      </c>
      <c r="E299" s="2" t="n">
        <v>799</v>
      </c>
      <c r="F299" s="2" t="inlineStr">
        <is>
          <t>UPI</t>
        </is>
      </c>
      <c r="G299" s="2" t="inlineStr">
        <is>
          <t>captured</t>
        </is>
      </c>
      <c r="H299" s="2" t="n">
        <v>66</v>
      </c>
      <c r="I299" s="2">
        <f>IFERROR(VLOOKUP(C299,Merchants!$A$2:$D$41,2,FALSE),"Merchant not found")</f>
        <v/>
      </c>
      <c r="J299" s="2">
        <f>IFERROR(VLOOKUP(C299,Merchants!$A$2:$D$41,3,FALSE),"Merchant not found")</f>
        <v/>
      </c>
      <c r="K299" s="2">
        <f>IFERROR(VLOOKUP(C299,Merchants!$A$2:$D$41,4,FALSE),"Merchant not found")</f>
        <v/>
      </c>
      <c r="L299" s="2">
        <f>IFERROR(HLOOKUP(F299,Fee_Tiers!$B$4:$E$5,2,FALSE),0)</f>
        <v/>
      </c>
      <c r="M299" s="2">
        <f>IF(AND(E299&gt;500,K299&lt;&gt;"East"),"High-Value Merchant Day",IF(AND(E299&gt;500,K299="East"),"High-Value East (Excluded)",IF(E299&lt;=500,"Standard","Unknown")))</f>
        <v/>
      </c>
    </row>
    <row r="300">
      <c r="A300" s="2" t="inlineStr">
        <is>
          <t>TXN100298</t>
        </is>
      </c>
      <c r="B300" s="2" t="n">
        <v>218</v>
      </c>
      <c r="C300" s="2" t="n">
        <v>6</v>
      </c>
      <c r="D300" s="2" t="inlineStr">
        <is>
          <t>2026-01-09 02:46:00</t>
        </is>
      </c>
      <c r="E300" s="2" t="n">
        <v>99</v>
      </c>
      <c r="F300" s="2" t="inlineStr">
        <is>
          <t>UPI</t>
        </is>
      </c>
      <c r="G300" s="2" t="inlineStr">
        <is>
          <t>captured</t>
        </is>
      </c>
      <c r="H300" s="2" t="n">
        <v>55</v>
      </c>
      <c r="I300" s="2">
        <f>IFERROR(VLOOKUP(C300,Merchants!$A$2:$D$41,2,FALSE),"Merchant not found")</f>
        <v/>
      </c>
      <c r="J300" s="2">
        <f>IFERROR(VLOOKUP(C300,Merchants!$A$2:$D$41,3,FALSE),"Merchant not found")</f>
        <v/>
      </c>
      <c r="K300" s="2">
        <f>IFERROR(VLOOKUP(C300,Merchants!$A$2:$D$41,4,FALSE),"Merchant not found")</f>
        <v/>
      </c>
      <c r="L300" s="2">
        <f>IFERROR(HLOOKUP(F300,Fee_Tiers!$B$4:$E$5,2,FALSE),0)</f>
        <v/>
      </c>
      <c r="M300" s="2">
        <f>IF(AND(E300&gt;500,K300&lt;&gt;"East"),"High-Value Merchant Day",IF(AND(E300&gt;500,K300="East"),"High-Value East (Excluded)",IF(E300&lt;=500,"Standard","Unknown")))</f>
        <v/>
      </c>
    </row>
    <row r="301">
      <c r="A301" s="2" t="inlineStr">
        <is>
          <t>TXN100299</t>
        </is>
      </c>
      <c r="B301" s="2" t="n">
        <v>151</v>
      </c>
      <c r="C301" s="2" t="n">
        <v>21</v>
      </c>
      <c r="D301" s="2" t="inlineStr">
        <is>
          <t>2026-01-20 05:34:00</t>
        </is>
      </c>
      <c r="E301" s="2" t="n">
        <v>49</v>
      </c>
      <c r="F301" s="2" t="inlineStr">
        <is>
          <t>UPI</t>
        </is>
      </c>
      <c r="G301" s="2" t="inlineStr">
        <is>
          <t>captured</t>
        </is>
      </c>
      <c r="H301" s="2" t="n">
        <v>13</v>
      </c>
      <c r="I301" s="2">
        <f>IFERROR(VLOOKUP(C301,Merchants!$A$2:$D$41,2,FALSE),"Merchant not found")</f>
        <v/>
      </c>
      <c r="J301" s="2">
        <f>IFERROR(VLOOKUP(C301,Merchants!$A$2:$D$41,3,FALSE),"Merchant not found")</f>
        <v/>
      </c>
      <c r="K301" s="2">
        <f>IFERROR(VLOOKUP(C301,Merchants!$A$2:$D$41,4,FALSE),"Merchant not found")</f>
        <v/>
      </c>
      <c r="L301" s="2">
        <f>IFERROR(HLOOKUP(F301,Fee_Tiers!$B$4:$E$5,2,FALSE),0)</f>
        <v/>
      </c>
      <c r="M301" s="2">
        <f>IF(AND(E301&gt;500,K301&lt;&gt;"East"),"High-Value Merchant Day",IF(AND(E301&gt;500,K301="East"),"High-Value East (Excluded)",IF(E301&lt;=500,"Standard","Unknown")))</f>
        <v/>
      </c>
    </row>
    <row r="302">
      <c r="A302" s="2" t="inlineStr">
        <is>
          <t>TXN100300</t>
        </is>
      </c>
      <c r="B302" s="2" t="n">
        <v>152</v>
      </c>
      <c r="C302" s="2" t="n">
        <v>20</v>
      </c>
      <c r="D302" s="2" t="inlineStr">
        <is>
          <t>2026-01-03 10:42:00</t>
        </is>
      </c>
      <c r="E302" s="2" t="n">
        <v>49</v>
      </c>
      <c r="F302" s="2" t="inlineStr">
        <is>
          <t>UPI</t>
        </is>
      </c>
      <c r="G302" s="2" t="inlineStr">
        <is>
          <t>captured</t>
        </is>
      </c>
      <c r="H302" s="2" t="n">
        <v>57</v>
      </c>
      <c r="I302" s="2">
        <f>IFERROR(VLOOKUP(C302,Merchants!$A$2:$D$41,2,FALSE),"Merchant not found")</f>
        <v/>
      </c>
      <c r="J302" s="2">
        <f>IFERROR(VLOOKUP(C302,Merchants!$A$2:$D$41,3,FALSE),"Merchant not found")</f>
        <v/>
      </c>
      <c r="K302" s="2">
        <f>IFERROR(VLOOKUP(C302,Merchants!$A$2:$D$41,4,FALSE),"Merchant not found")</f>
        <v/>
      </c>
      <c r="L302" s="2">
        <f>IFERROR(HLOOKUP(F302,Fee_Tiers!$B$4:$E$5,2,FALSE),0)</f>
        <v/>
      </c>
      <c r="M302" s="2">
        <f>IF(AND(E302&gt;500,K302&lt;&gt;"East"),"High-Value Merchant Day",IF(AND(E302&gt;500,K302="East"),"High-Value East (Excluded)",IF(E302&lt;=500,"Standard","Unknown")))</f>
        <v/>
      </c>
    </row>
    <row r="303">
      <c r="A303" s="2" t="inlineStr">
        <is>
          <t>TXN100301</t>
        </is>
      </c>
      <c r="B303" s="2" t="n">
        <v>86</v>
      </c>
      <c r="C303" s="2" t="n">
        <v>29</v>
      </c>
      <c r="D303" s="2" t="inlineStr">
        <is>
          <t>2026-01-20 22:27:00</t>
        </is>
      </c>
      <c r="E303" s="2" t="n">
        <v>149</v>
      </c>
      <c r="F303" s="2" t="inlineStr">
        <is>
          <t>Card</t>
        </is>
      </c>
      <c r="G303" s="2" t="inlineStr">
        <is>
          <t>captured</t>
        </is>
      </c>
      <c r="H303" s="2" t="n">
        <v>44</v>
      </c>
      <c r="I303" s="2">
        <f>IFERROR(VLOOKUP(C303,Merchants!$A$2:$D$41,2,FALSE),"Merchant not found")</f>
        <v/>
      </c>
      <c r="J303" s="2">
        <f>IFERROR(VLOOKUP(C303,Merchants!$A$2:$D$41,3,FALSE),"Merchant not found")</f>
        <v/>
      </c>
      <c r="K303" s="2">
        <f>IFERROR(VLOOKUP(C303,Merchants!$A$2:$D$41,4,FALSE),"Merchant not found")</f>
        <v/>
      </c>
      <c r="L303" s="2">
        <f>IFERROR(HLOOKUP(F303,Fee_Tiers!$B$4:$E$5,2,FALSE),0)</f>
        <v/>
      </c>
      <c r="M303" s="2">
        <f>IF(AND(E303&gt;500,K303&lt;&gt;"East"),"High-Value Merchant Day",IF(AND(E303&gt;500,K303="East"),"High-Value East (Excluded)",IF(E303&lt;=500,"Standard","Unknown")))</f>
        <v/>
      </c>
    </row>
    <row r="304">
      <c r="A304" s="2" t="inlineStr">
        <is>
          <t>TXN100302</t>
        </is>
      </c>
      <c r="B304" s="2" t="n">
        <v>181</v>
      </c>
      <c r="C304" s="2" t="n">
        <v>40</v>
      </c>
      <c r="D304" s="2" t="inlineStr">
        <is>
          <t>2026-01-15 01:46:00</t>
        </is>
      </c>
      <c r="E304" s="2" t="n">
        <v>149</v>
      </c>
      <c r="F304" s="2" t="inlineStr">
        <is>
          <t>UPI</t>
        </is>
      </c>
      <c r="G304" s="2" t="inlineStr">
        <is>
          <t>captured</t>
        </is>
      </c>
      <c r="H304" s="2" t="n">
        <v>55</v>
      </c>
      <c r="I304" s="2">
        <f>IFERROR(VLOOKUP(C304,Merchants!$A$2:$D$41,2,FALSE),"Merchant not found")</f>
        <v/>
      </c>
      <c r="J304" s="2">
        <f>IFERROR(VLOOKUP(C304,Merchants!$A$2:$D$41,3,FALSE),"Merchant not found")</f>
        <v/>
      </c>
      <c r="K304" s="2">
        <f>IFERROR(VLOOKUP(C304,Merchants!$A$2:$D$41,4,FALSE),"Merchant not found")</f>
        <v/>
      </c>
      <c r="L304" s="2">
        <f>IFERROR(HLOOKUP(F304,Fee_Tiers!$B$4:$E$5,2,FALSE),0)</f>
        <v/>
      </c>
      <c r="M304" s="2">
        <f>IF(AND(E304&gt;500,K304&lt;&gt;"East"),"High-Value Merchant Day",IF(AND(E304&gt;500,K304="East"),"High-Value East (Excluded)",IF(E304&lt;=500,"Standard","Unknown")))</f>
        <v/>
      </c>
    </row>
    <row r="305">
      <c r="A305" s="2" t="inlineStr">
        <is>
          <t>TXN100303</t>
        </is>
      </c>
      <c r="B305" s="2" t="n">
        <v>30</v>
      </c>
      <c r="C305" s="2" t="n">
        <v>5</v>
      </c>
      <c r="D305" s="2" t="inlineStr">
        <is>
          <t>2026-01-09 20:50:00</t>
        </is>
      </c>
      <c r="E305" s="2" t="n">
        <v>299</v>
      </c>
      <c r="F305" s="2" t="inlineStr">
        <is>
          <t>UPI</t>
        </is>
      </c>
      <c r="G305" s="2" t="inlineStr">
        <is>
          <t>captured</t>
        </is>
      </c>
      <c r="H305" s="2" t="n">
        <v>85</v>
      </c>
      <c r="I305" s="2">
        <f>IFERROR(VLOOKUP(C305,Merchants!$A$2:$D$41,2,FALSE),"Merchant not found")</f>
        <v/>
      </c>
      <c r="J305" s="2">
        <f>IFERROR(VLOOKUP(C305,Merchants!$A$2:$D$41,3,FALSE),"Merchant not found")</f>
        <v/>
      </c>
      <c r="K305" s="2">
        <f>IFERROR(VLOOKUP(C305,Merchants!$A$2:$D$41,4,FALSE),"Merchant not found")</f>
        <v/>
      </c>
      <c r="L305" s="2">
        <f>IFERROR(HLOOKUP(F305,Fee_Tiers!$B$4:$E$5,2,FALSE),0)</f>
        <v/>
      </c>
      <c r="M305" s="2">
        <f>IF(AND(E305&gt;500,K305&lt;&gt;"East"),"High-Value Merchant Day",IF(AND(E305&gt;500,K305="East"),"High-Value East (Excluded)",IF(E305&lt;=500,"Standard","Unknown")))</f>
        <v/>
      </c>
    </row>
    <row r="306">
      <c r="A306" s="2" t="inlineStr">
        <is>
          <t>TXN100304</t>
        </is>
      </c>
      <c r="B306" s="2" t="n">
        <v>263</v>
      </c>
      <c r="C306" s="2" t="n">
        <v>11</v>
      </c>
      <c r="D306" s="2" t="inlineStr">
        <is>
          <t>2026-01-21 12:23:00</t>
        </is>
      </c>
      <c r="E306" s="2" t="n">
        <v>149</v>
      </c>
      <c r="F306" s="2" t="inlineStr">
        <is>
          <t>Wallet</t>
        </is>
      </c>
      <c r="G306" s="2" t="inlineStr">
        <is>
          <t>captured</t>
        </is>
      </c>
      <c r="H306" s="2" t="n">
        <v>3</v>
      </c>
      <c r="I306" s="2">
        <f>IFERROR(VLOOKUP(C306,Merchants!$A$2:$D$41,2,FALSE),"Merchant not found")</f>
        <v/>
      </c>
      <c r="J306" s="2">
        <f>IFERROR(VLOOKUP(C306,Merchants!$A$2:$D$41,3,FALSE),"Merchant not found")</f>
        <v/>
      </c>
      <c r="K306" s="2">
        <f>IFERROR(VLOOKUP(C306,Merchants!$A$2:$D$41,4,FALSE),"Merchant not found")</f>
        <v/>
      </c>
      <c r="L306" s="2">
        <f>IFERROR(HLOOKUP(F306,Fee_Tiers!$B$4:$E$5,2,FALSE),0)</f>
        <v/>
      </c>
      <c r="M306" s="2">
        <f>IF(AND(E306&gt;500,K306&lt;&gt;"East"),"High-Value Merchant Day",IF(AND(E306&gt;500,K306="East"),"High-Value East (Excluded)",IF(E306&lt;=500,"Standard","Unknown")))</f>
        <v/>
      </c>
    </row>
    <row r="307">
      <c r="A307" s="2" t="inlineStr">
        <is>
          <t>TXN100305</t>
        </is>
      </c>
      <c r="B307" s="2" t="n">
        <v>225</v>
      </c>
      <c r="C307" s="2" t="n">
        <v>3</v>
      </c>
      <c r="D307" s="2" t="inlineStr">
        <is>
          <t>2026-01-05 19:43:00</t>
        </is>
      </c>
      <c r="E307" s="2" t="n">
        <v>99</v>
      </c>
      <c r="F307" s="2" t="inlineStr">
        <is>
          <t>Netbanking</t>
        </is>
      </c>
      <c r="G307" s="2" t="inlineStr">
        <is>
          <t>captured</t>
        </is>
      </c>
      <c r="H307" s="2" t="n">
        <v>16</v>
      </c>
      <c r="I307" s="2">
        <f>IFERROR(VLOOKUP(C307,Merchants!$A$2:$D$41,2,FALSE),"Merchant not found")</f>
        <v/>
      </c>
      <c r="J307" s="2">
        <f>IFERROR(VLOOKUP(C307,Merchants!$A$2:$D$41,3,FALSE),"Merchant not found")</f>
        <v/>
      </c>
      <c r="K307" s="2">
        <f>IFERROR(VLOOKUP(C307,Merchants!$A$2:$D$41,4,FALSE),"Merchant not found")</f>
        <v/>
      </c>
      <c r="L307" s="2">
        <f>IFERROR(HLOOKUP(F307,Fee_Tiers!$B$4:$E$5,2,FALSE),0)</f>
        <v/>
      </c>
      <c r="M307" s="2">
        <f>IF(AND(E307&gt;500,K307&lt;&gt;"East"),"High-Value Merchant Day",IF(AND(E307&gt;500,K307="East"),"High-Value East (Excluded)",IF(E307&lt;=500,"Standard","Unknown")))</f>
        <v/>
      </c>
    </row>
    <row r="308">
      <c r="A308" s="2" t="inlineStr">
        <is>
          <t>TXN100306</t>
        </is>
      </c>
      <c r="B308" s="2" t="n">
        <v>331</v>
      </c>
      <c r="C308" s="2" t="n">
        <v>24</v>
      </c>
      <c r="D308" s="2" t="inlineStr">
        <is>
          <t>2026-01-03 07:49:00</t>
        </is>
      </c>
      <c r="E308" s="2" t="n">
        <v>49</v>
      </c>
      <c r="F308" s="2" t="inlineStr">
        <is>
          <t>Card</t>
        </is>
      </c>
      <c r="G308" s="2" t="inlineStr">
        <is>
          <t>captured</t>
        </is>
      </c>
      <c r="H308" s="2" t="n">
        <v>46</v>
      </c>
      <c r="I308" s="2">
        <f>IFERROR(VLOOKUP(C308,Merchants!$A$2:$D$41,2,FALSE),"Merchant not found")</f>
        <v/>
      </c>
      <c r="J308" s="2">
        <f>IFERROR(VLOOKUP(C308,Merchants!$A$2:$D$41,3,FALSE),"Merchant not found")</f>
        <v/>
      </c>
      <c r="K308" s="2">
        <f>IFERROR(VLOOKUP(C308,Merchants!$A$2:$D$41,4,FALSE),"Merchant not found")</f>
        <v/>
      </c>
      <c r="L308" s="2">
        <f>IFERROR(HLOOKUP(F308,Fee_Tiers!$B$4:$E$5,2,FALSE),0)</f>
        <v/>
      </c>
      <c r="M308" s="2">
        <f>IF(AND(E308&gt;500,K308&lt;&gt;"East"),"High-Value Merchant Day",IF(AND(E308&gt;500,K308="East"),"High-Value East (Excluded)",IF(E308&lt;=500,"Standard","Unknown")))</f>
        <v/>
      </c>
    </row>
    <row r="309">
      <c r="A309" s="2" t="inlineStr">
        <is>
          <t>TXN100307</t>
        </is>
      </c>
      <c r="B309" s="2" t="n">
        <v>310</v>
      </c>
      <c r="C309" s="2" t="n">
        <v>10</v>
      </c>
      <c r="D309" s="2" t="inlineStr">
        <is>
          <t>2026-01-13 18:02:00</t>
        </is>
      </c>
      <c r="E309" s="2" t="n">
        <v>1499</v>
      </c>
      <c r="F309" s="2" t="inlineStr">
        <is>
          <t>Card</t>
        </is>
      </c>
      <c r="G309" s="2" t="inlineStr">
        <is>
          <t>captured</t>
        </is>
      </c>
      <c r="H309" s="2" t="n">
        <v>86</v>
      </c>
      <c r="I309" s="2">
        <f>IFERROR(VLOOKUP(C309,Merchants!$A$2:$D$41,2,FALSE),"Merchant not found")</f>
        <v/>
      </c>
      <c r="J309" s="2">
        <f>IFERROR(VLOOKUP(C309,Merchants!$A$2:$D$41,3,FALSE),"Merchant not found")</f>
        <v/>
      </c>
      <c r="K309" s="2">
        <f>IFERROR(VLOOKUP(C309,Merchants!$A$2:$D$41,4,FALSE),"Merchant not found")</f>
        <v/>
      </c>
      <c r="L309" s="2">
        <f>IFERROR(HLOOKUP(F309,Fee_Tiers!$B$4:$E$5,2,FALSE),0)</f>
        <v/>
      </c>
      <c r="M309" s="2">
        <f>IF(AND(E309&gt;500,K309&lt;&gt;"East"),"High-Value Merchant Day",IF(AND(E309&gt;500,K309="East"),"High-Value East (Excluded)",IF(E309&lt;=500,"Standard","Unknown")))</f>
        <v/>
      </c>
    </row>
    <row r="310">
      <c r="A310" s="2" t="inlineStr">
        <is>
          <t>TXN100308</t>
        </is>
      </c>
      <c r="B310" s="2" t="n">
        <v>228</v>
      </c>
      <c r="C310" s="2" t="n">
        <v>5</v>
      </c>
      <c r="D310" s="2" t="inlineStr">
        <is>
          <t>2026-01-15 11:23:00</t>
        </is>
      </c>
      <c r="E310" s="2" t="n">
        <v>49</v>
      </c>
      <c r="F310" s="2" t="inlineStr">
        <is>
          <t>UPI</t>
        </is>
      </c>
      <c r="G310" s="2" t="inlineStr">
        <is>
          <t>captured</t>
        </is>
      </c>
      <c r="H310" s="2" t="n">
        <v>73</v>
      </c>
      <c r="I310" s="2">
        <f>IFERROR(VLOOKUP(C310,Merchants!$A$2:$D$41,2,FALSE),"Merchant not found")</f>
        <v/>
      </c>
      <c r="J310" s="2">
        <f>IFERROR(VLOOKUP(C310,Merchants!$A$2:$D$41,3,FALSE),"Merchant not found")</f>
        <v/>
      </c>
      <c r="K310" s="2">
        <f>IFERROR(VLOOKUP(C310,Merchants!$A$2:$D$41,4,FALSE),"Merchant not found")</f>
        <v/>
      </c>
      <c r="L310" s="2">
        <f>IFERROR(HLOOKUP(F310,Fee_Tiers!$B$4:$E$5,2,FALSE),0)</f>
        <v/>
      </c>
      <c r="M310" s="2">
        <f>IF(AND(E310&gt;500,K310&lt;&gt;"East"),"High-Value Merchant Day",IF(AND(E310&gt;500,K310="East"),"High-Value East (Excluded)",IF(E310&lt;=500,"Standard","Unknown")))</f>
        <v/>
      </c>
    </row>
    <row r="311">
      <c r="A311" s="2" t="inlineStr">
        <is>
          <t>TXN100309</t>
        </is>
      </c>
      <c r="B311" s="2" t="n">
        <v>204</v>
      </c>
      <c r="C311" s="2" t="n">
        <v>21</v>
      </c>
      <c r="D311" s="2" t="inlineStr">
        <is>
          <t>2026-01-05 16:23:00</t>
        </is>
      </c>
      <c r="E311" s="2" t="n">
        <v>499</v>
      </c>
      <c r="F311" s="2" t="inlineStr">
        <is>
          <t>UPI</t>
        </is>
      </c>
      <c r="G311" s="2" t="inlineStr">
        <is>
          <t>captured</t>
        </is>
      </c>
      <c r="H311" s="2" t="n">
        <v>83</v>
      </c>
      <c r="I311" s="2">
        <f>IFERROR(VLOOKUP(C311,Merchants!$A$2:$D$41,2,FALSE),"Merchant not found")</f>
        <v/>
      </c>
      <c r="J311" s="2">
        <f>IFERROR(VLOOKUP(C311,Merchants!$A$2:$D$41,3,FALSE),"Merchant not found")</f>
        <v/>
      </c>
      <c r="K311" s="2">
        <f>IFERROR(VLOOKUP(C311,Merchants!$A$2:$D$41,4,FALSE),"Merchant not found")</f>
        <v/>
      </c>
      <c r="L311" s="2">
        <f>IFERROR(HLOOKUP(F311,Fee_Tiers!$B$4:$E$5,2,FALSE),0)</f>
        <v/>
      </c>
      <c r="M311" s="2">
        <f>IF(AND(E311&gt;500,K311&lt;&gt;"East"),"High-Value Merchant Day",IF(AND(E311&gt;500,K311="East"),"High-Value East (Excluded)",IF(E311&lt;=500,"Standard","Unknown")))</f>
        <v/>
      </c>
    </row>
    <row r="312">
      <c r="A312" s="2" t="inlineStr">
        <is>
          <t>TXN100310</t>
        </is>
      </c>
      <c r="B312" s="2" t="n">
        <v>14</v>
      </c>
      <c r="C312" s="2" t="n">
        <v>12</v>
      </c>
      <c r="D312" s="2" t="inlineStr">
        <is>
          <t>2026-01-09 07:07:00</t>
        </is>
      </c>
      <c r="E312" s="2" t="n">
        <v>799</v>
      </c>
      <c r="F312" s="2" t="inlineStr">
        <is>
          <t>Netbanking</t>
        </is>
      </c>
      <c r="G312" s="2" t="inlineStr">
        <is>
          <t>captured</t>
        </is>
      </c>
      <c r="H312" s="2" t="n">
        <v>63</v>
      </c>
      <c r="I312" s="2">
        <f>IFERROR(VLOOKUP(C312,Merchants!$A$2:$D$41,2,FALSE),"Merchant not found")</f>
        <v/>
      </c>
      <c r="J312" s="2">
        <f>IFERROR(VLOOKUP(C312,Merchants!$A$2:$D$41,3,FALSE),"Merchant not found")</f>
        <v/>
      </c>
      <c r="K312" s="2">
        <f>IFERROR(VLOOKUP(C312,Merchants!$A$2:$D$41,4,FALSE),"Merchant not found")</f>
        <v/>
      </c>
      <c r="L312" s="2">
        <f>IFERROR(HLOOKUP(F312,Fee_Tiers!$B$4:$E$5,2,FALSE),0)</f>
        <v/>
      </c>
      <c r="M312" s="2">
        <f>IF(AND(E312&gt;500,K312&lt;&gt;"East"),"High-Value Merchant Day",IF(AND(E312&gt;500,K312="East"),"High-Value East (Excluded)",IF(E312&lt;=500,"Standard","Unknown")))</f>
        <v/>
      </c>
    </row>
    <row r="313">
      <c r="A313" s="2" t="inlineStr">
        <is>
          <t>TXN100311</t>
        </is>
      </c>
      <c r="B313" s="2" t="n">
        <v>288</v>
      </c>
      <c r="C313" s="2" t="n">
        <v>8</v>
      </c>
      <c r="D313" s="2" t="inlineStr">
        <is>
          <t>2026-01-17 12:58:00</t>
        </is>
      </c>
      <c r="E313" s="2" t="n">
        <v>49</v>
      </c>
      <c r="F313" s="2" t="inlineStr">
        <is>
          <t>UPI</t>
        </is>
      </c>
      <c r="G313" s="2" t="inlineStr">
        <is>
          <t>captured</t>
        </is>
      </c>
      <c r="H313" s="2" t="n">
        <v>33</v>
      </c>
      <c r="I313" s="2">
        <f>IFERROR(VLOOKUP(C313,Merchants!$A$2:$D$41,2,FALSE),"Merchant not found")</f>
        <v/>
      </c>
      <c r="J313" s="2">
        <f>IFERROR(VLOOKUP(C313,Merchants!$A$2:$D$41,3,FALSE),"Merchant not found")</f>
        <v/>
      </c>
      <c r="K313" s="2">
        <f>IFERROR(VLOOKUP(C313,Merchants!$A$2:$D$41,4,FALSE),"Merchant not found")</f>
        <v/>
      </c>
      <c r="L313" s="2">
        <f>IFERROR(HLOOKUP(F313,Fee_Tiers!$B$4:$E$5,2,FALSE),0)</f>
        <v/>
      </c>
      <c r="M313" s="2">
        <f>IF(AND(E313&gt;500,K313&lt;&gt;"East"),"High-Value Merchant Day",IF(AND(E313&gt;500,K313="East"),"High-Value East (Excluded)",IF(E313&lt;=500,"Standard","Unknown")))</f>
        <v/>
      </c>
    </row>
    <row r="314">
      <c r="A314" s="2" t="inlineStr">
        <is>
          <t>TXN100312</t>
        </is>
      </c>
      <c r="B314" s="2" t="n">
        <v>229</v>
      </c>
      <c r="C314" s="2" t="n">
        <v>14</v>
      </c>
      <c r="D314" s="2" t="inlineStr">
        <is>
          <t>2026-01-25 08:45:00</t>
        </is>
      </c>
      <c r="E314" s="2" t="n">
        <v>1499</v>
      </c>
      <c r="F314" s="2" t="inlineStr">
        <is>
          <t>UPI</t>
        </is>
      </c>
      <c r="G314" s="2" t="inlineStr">
        <is>
          <t>captured</t>
        </is>
      </c>
      <c r="H314" s="2" t="n">
        <v>78</v>
      </c>
      <c r="I314" s="2">
        <f>IFERROR(VLOOKUP(C314,Merchants!$A$2:$D$41,2,FALSE),"Merchant not found")</f>
        <v/>
      </c>
      <c r="J314" s="2">
        <f>IFERROR(VLOOKUP(C314,Merchants!$A$2:$D$41,3,FALSE),"Merchant not found")</f>
        <v/>
      </c>
      <c r="K314" s="2">
        <f>IFERROR(VLOOKUP(C314,Merchants!$A$2:$D$41,4,FALSE),"Merchant not found")</f>
        <v/>
      </c>
      <c r="L314" s="2">
        <f>IFERROR(HLOOKUP(F314,Fee_Tiers!$B$4:$E$5,2,FALSE),0)</f>
        <v/>
      </c>
      <c r="M314" s="2">
        <f>IF(AND(E314&gt;500,K314&lt;&gt;"East"),"High-Value Merchant Day",IF(AND(E314&gt;500,K314="East"),"High-Value East (Excluded)",IF(E314&lt;=500,"Standard","Unknown")))</f>
        <v/>
      </c>
    </row>
    <row r="315">
      <c r="A315" s="2" t="inlineStr">
        <is>
          <t>TXN100313</t>
        </is>
      </c>
      <c r="B315" s="2" t="n">
        <v>252</v>
      </c>
      <c r="C315" s="2" t="n">
        <v>13</v>
      </c>
      <c r="D315" s="2" t="inlineStr">
        <is>
          <t>2026-01-10 22:58:00</t>
        </is>
      </c>
      <c r="E315" s="2" t="n">
        <v>99</v>
      </c>
      <c r="F315" s="2" t="inlineStr">
        <is>
          <t>Wallet</t>
        </is>
      </c>
      <c r="G315" s="2" t="inlineStr">
        <is>
          <t>captured</t>
        </is>
      </c>
      <c r="H315" s="2" t="n">
        <v>15</v>
      </c>
      <c r="I315" s="2">
        <f>IFERROR(VLOOKUP(C315,Merchants!$A$2:$D$41,2,FALSE),"Merchant not found")</f>
        <v/>
      </c>
      <c r="J315" s="2">
        <f>IFERROR(VLOOKUP(C315,Merchants!$A$2:$D$41,3,FALSE),"Merchant not found")</f>
        <v/>
      </c>
      <c r="K315" s="2">
        <f>IFERROR(VLOOKUP(C315,Merchants!$A$2:$D$41,4,FALSE),"Merchant not found")</f>
        <v/>
      </c>
      <c r="L315" s="2">
        <f>IFERROR(HLOOKUP(F315,Fee_Tiers!$B$4:$E$5,2,FALSE),0)</f>
        <v/>
      </c>
      <c r="M315" s="2">
        <f>IF(AND(E315&gt;500,K315&lt;&gt;"East"),"High-Value Merchant Day",IF(AND(E315&gt;500,K315="East"),"High-Value East (Excluded)",IF(E315&lt;=500,"Standard","Unknown")))</f>
        <v/>
      </c>
    </row>
    <row r="316">
      <c r="A316" s="2" t="inlineStr">
        <is>
          <t>TXN100314</t>
        </is>
      </c>
      <c r="B316" s="2" t="n">
        <v>89</v>
      </c>
      <c r="C316" s="2" t="n">
        <v>29</v>
      </c>
      <c r="D316" s="2" t="inlineStr">
        <is>
          <t>2026-01-05 02:28:00</t>
        </is>
      </c>
      <c r="E316" s="2" t="n">
        <v>799</v>
      </c>
      <c r="F316" s="2" t="inlineStr">
        <is>
          <t>UPI</t>
        </is>
      </c>
      <c r="G316" s="2" t="inlineStr">
        <is>
          <t>captured</t>
        </is>
      </c>
      <c r="H316" s="2" t="n">
        <v>11</v>
      </c>
      <c r="I316" s="2">
        <f>IFERROR(VLOOKUP(C316,Merchants!$A$2:$D$41,2,FALSE),"Merchant not found")</f>
        <v/>
      </c>
      <c r="J316" s="2">
        <f>IFERROR(VLOOKUP(C316,Merchants!$A$2:$D$41,3,FALSE),"Merchant not found")</f>
        <v/>
      </c>
      <c r="K316" s="2">
        <f>IFERROR(VLOOKUP(C316,Merchants!$A$2:$D$41,4,FALSE),"Merchant not found")</f>
        <v/>
      </c>
      <c r="L316" s="2">
        <f>IFERROR(HLOOKUP(F316,Fee_Tiers!$B$4:$E$5,2,FALSE),0)</f>
        <v/>
      </c>
      <c r="M316" s="2">
        <f>IF(AND(E316&gt;500,K316&lt;&gt;"East"),"High-Value Merchant Day",IF(AND(E316&gt;500,K316="East"),"High-Value East (Excluded)",IF(E316&lt;=500,"Standard","Unknown")))</f>
        <v/>
      </c>
    </row>
    <row r="317">
      <c r="A317" s="2" t="inlineStr">
        <is>
          <t>TXN100315</t>
        </is>
      </c>
      <c r="B317" s="2" t="n">
        <v>164</v>
      </c>
      <c r="C317" s="2" t="n">
        <v>23</v>
      </c>
      <c r="D317" s="2" t="inlineStr">
        <is>
          <t>2026-01-26 21:54:00</t>
        </is>
      </c>
      <c r="E317" s="2" t="n">
        <v>49</v>
      </c>
      <c r="F317" s="2" t="inlineStr">
        <is>
          <t>Netbanking</t>
        </is>
      </c>
      <c r="G317" s="2" t="inlineStr">
        <is>
          <t>captured</t>
        </is>
      </c>
      <c r="H317" s="2" t="n">
        <v>90</v>
      </c>
      <c r="I317" s="2">
        <f>IFERROR(VLOOKUP(C317,Merchants!$A$2:$D$41,2,FALSE),"Merchant not found")</f>
        <v/>
      </c>
      <c r="J317" s="2">
        <f>IFERROR(VLOOKUP(C317,Merchants!$A$2:$D$41,3,FALSE),"Merchant not found")</f>
        <v/>
      </c>
      <c r="K317" s="2">
        <f>IFERROR(VLOOKUP(C317,Merchants!$A$2:$D$41,4,FALSE),"Merchant not found")</f>
        <v/>
      </c>
      <c r="L317" s="2">
        <f>IFERROR(HLOOKUP(F317,Fee_Tiers!$B$4:$E$5,2,FALSE),0)</f>
        <v/>
      </c>
      <c r="M317" s="2">
        <f>IF(AND(E317&gt;500,K317&lt;&gt;"East"),"High-Value Merchant Day",IF(AND(E317&gt;500,K317="East"),"High-Value East (Excluded)",IF(E317&lt;=500,"Standard","Unknown")))</f>
        <v/>
      </c>
    </row>
    <row r="318">
      <c r="A318" s="2" t="inlineStr">
        <is>
          <t>TXN100316</t>
        </is>
      </c>
      <c r="B318" s="2" t="n">
        <v>149</v>
      </c>
      <c r="C318" s="2" t="n">
        <v>20</v>
      </c>
      <c r="D318" s="2" t="inlineStr">
        <is>
          <t>2026-01-03 17:34:00</t>
        </is>
      </c>
      <c r="E318" s="2" t="n">
        <v>299</v>
      </c>
      <c r="F318" s="2" t="inlineStr">
        <is>
          <t>Wallet</t>
        </is>
      </c>
      <c r="G318" s="2" t="inlineStr">
        <is>
          <t>captured</t>
        </is>
      </c>
      <c r="H318" s="2" t="n">
        <v>20</v>
      </c>
      <c r="I318" s="2">
        <f>IFERROR(VLOOKUP(C318,Merchants!$A$2:$D$41,2,FALSE),"Merchant not found")</f>
        <v/>
      </c>
      <c r="J318" s="2">
        <f>IFERROR(VLOOKUP(C318,Merchants!$A$2:$D$41,3,FALSE),"Merchant not found")</f>
        <v/>
      </c>
      <c r="K318" s="2">
        <f>IFERROR(VLOOKUP(C318,Merchants!$A$2:$D$41,4,FALSE),"Merchant not found")</f>
        <v/>
      </c>
      <c r="L318" s="2">
        <f>IFERROR(HLOOKUP(F318,Fee_Tiers!$B$4:$E$5,2,FALSE),0)</f>
        <v/>
      </c>
      <c r="M318" s="2">
        <f>IF(AND(E318&gt;500,K318&lt;&gt;"East"),"High-Value Merchant Day",IF(AND(E318&gt;500,K318="East"),"High-Value East (Excluded)",IF(E318&lt;=500,"Standard","Unknown")))</f>
        <v/>
      </c>
    </row>
    <row r="319">
      <c r="A319" s="2" t="inlineStr">
        <is>
          <t>TXN100317</t>
        </is>
      </c>
      <c r="B319" s="2" t="n">
        <v>327</v>
      </c>
      <c r="C319" s="2" t="n">
        <v>12</v>
      </c>
      <c r="D319" s="2" t="inlineStr">
        <is>
          <t>2026-01-23 22:59:00</t>
        </is>
      </c>
      <c r="E319" s="2" t="n">
        <v>49</v>
      </c>
      <c r="F319" s="2" t="inlineStr">
        <is>
          <t>Netbanking</t>
        </is>
      </c>
      <c r="G319" s="2" t="inlineStr">
        <is>
          <t>captured</t>
        </is>
      </c>
      <c r="H319" s="2" t="n">
        <v>46</v>
      </c>
      <c r="I319" s="2">
        <f>IFERROR(VLOOKUP(C319,Merchants!$A$2:$D$41,2,FALSE),"Merchant not found")</f>
        <v/>
      </c>
      <c r="J319" s="2">
        <f>IFERROR(VLOOKUP(C319,Merchants!$A$2:$D$41,3,FALSE),"Merchant not found")</f>
        <v/>
      </c>
      <c r="K319" s="2">
        <f>IFERROR(VLOOKUP(C319,Merchants!$A$2:$D$41,4,FALSE),"Merchant not found")</f>
        <v/>
      </c>
      <c r="L319" s="2">
        <f>IFERROR(HLOOKUP(F319,Fee_Tiers!$B$4:$E$5,2,FALSE),0)</f>
        <v/>
      </c>
      <c r="M319" s="2">
        <f>IF(AND(E319&gt;500,K319&lt;&gt;"East"),"High-Value Merchant Day",IF(AND(E319&gt;500,K319="East"),"High-Value East (Excluded)",IF(E319&lt;=500,"Standard","Unknown")))</f>
        <v/>
      </c>
    </row>
    <row r="320">
      <c r="A320" s="2" t="inlineStr">
        <is>
          <t>TXN100318</t>
        </is>
      </c>
      <c r="B320" s="2" t="n">
        <v>103</v>
      </c>
      <c r="C320" s="2" t="n">
        <v>9</v>
      </c>
      <c r="D320" s="2" t="inlineStr">
        <is>
          <t>2026-01-17 07:07:00</t>
        </is>
      </c>
      <c r="E320" s="2" t="n">
        <v>149</v>
      </c>
      <c r="F320" s="2" t="inlineStr">
        <is>
          <t>UPI</t>
        </is>
      </c>
      <c r="G320" s="2" t="inlineStr">
        <is>
          <t>captured</t>
        </is>
      </c>
      <c r="H320" s="2" t="n">
        <v>30</v>
      </c>
      <c r="I320" s="2">
        <f>IFERROR(VLOOKUP(C320,Merchants!$A$2:$D$41,2,FALSE),"Merchant not found")</f>
        <v/>
      </c>
      <c r="J320" s="2">
        <f>IFERROR(VLOOKUP(C320,Merchants!$A$2:$D$41,3,FALSE),"Merchant not found")</f>
        <v/>
      </c>
      <c r="K320" s="2">
        <f>IFERROR(VLOOKUP(C320,Merchants!$A$2:$D$41,4,FALSE),"Merchant not found")</f>
        <v/>
      </c>
      <c r="L320" s="2">
        <f>IFERROR(HLOOKUP(F320,Fee_Tiers!$B$4:$E$5,2,FALSE),0)</f>
        <v/>
      </c>
      <c r="M320" s="2">
        <f>IF(AND(E320&gt;500,K320&lt;&gt;"East"),"High-Value Merchant Day",IF(AND(E320&gt;500,K320="East"),"High-Value East (Excluded)",IF(E320&lt;=500,"Standard","Unknown")))</f>
        <v/>
      </c>
    </row>
    <row r="321">
      <c r="A321" s="2" t="inlineStr">
        <is>
          <t>TXN100319</t>
        </is>
      </c>
      <c r="B321" s="2" t="n">
        <v>185</v>
      </c>
      <c r="C321" s="2" t="n">
        <v>36</v>
      </c>
      <c r="D321" s="2" t="inlineStr">
        <is>
          <t>2026-01-26 15:01:00</t>
        </is>
      </c>
      <c r="E321" s="2" t="n">
        <v>49</v>
      </c>
      <c r="F321" s="2" t="inlineStr">
        <is>
          <t>Wallet</t>
        </is>
      </c>
      <c r="G321" s="2" t="inlineStr">
        <is>
          <t>captured</t>
        </is>
      </c>
      <c r="H321" s="2" t="n">
        <v>73</v>
      </c>
      <c r="I321" s="2">
        <f>IFERROR(VLOOKUP(C321,Merchants!$A$2:$D$41,2,FALSE),"Merchant not found")</f>
        <v/>
      </c>
      <c r="J321" s="2">
        <f>IFERROR(VLOOKUP(C321,Merchants!$A$2:$D$41,3,FALSE),"Merchant not found")</f>
        <v/>
      </c>
      <c r="K321" s="2">
        <f>IFERROR(VLOOKUP(C321,Merchants!$A$2:$D$41,4,FALSE),"Merchant not found")</f>
        <v/>
      </c>
      <c r="L321" s="2">
        <f>IFERROR(HLOOKUP(F321,Fee_Tiers!$B$4:$E$5,2,FALSE),0)</f>
        <v/>
      </c>
      <c r="M321" s="2">
        <f>IF(AND(E321&gt;500,K321&lt;&gt;"East"),"High-Value Merchant Day",IF(AND(E321&gt;500,K321="East"),"High-Value East (Excluded)",IF(E321&lt;=500,"Standard","Unknown")))</f>
        <v/>
      </c>
    </row>
    <row r="322">
      <c r="A322" s="2" t="inlineStr">
        <is>
          <t>TXN100320</t>
        </is>
      </c>
      <c r="B322" s="2" t="n">
        <v>283</v>
      </c>
      <c r="C322" s="2" t="n">
        <v>9</v>
      </c>
      <c r="D322" s="2" t="inlineStr">
        <is>
          <t>2026-01-12 14:51:00</t>
        </is>
      </c>
      <c r="E322" s="2" t="n">
        <v>299</v>
      </c>
      <c r="F322" s="2" t="inlineStr">
        <is>
          <t>UPI</t>
        </is>
      </c>
      <c r="G322" s="2" t="inlineStr">
        <is>
          <t>captured</t>
        </is>
      </c>
      <c r="H322" s="2" t="n">
        <v>78</v>
      </c>
      <c r="I322" s="2">
        <f>IFERROR(VLOOKUP(C322,Merchants!$A$2:$D$41,2,FALSE),"Merchant not found")</f>
        <v/>
      </c>
      <c r="J322" s="2">
        <f>IFERROR(VLOOKUP(C322,Merchants!$A$2:$D$41,3,FALSE),"Merchant not found")</f>
        <v/>
      </c>
      <c r="K322" s="2">
        <f>IFERROR(VLOOKUP(C322,Merchants!$A$2:$D$41,4,FALSE),"Merchant not found")</f>
        <v/>
      </c>
      <c r="L322" s="2">
        <f>IFERROR(HLOOKUP(F322,Fee_Tiers!$B$4:$E$5,2,FALSE),0)</f>
        <v/>
      </c>
      <c r="M322" s="2">
        <f>IF(AND(E322&gt;500,K322&lt;&gt;"East"),"High-Value Merchant Day",IF(AND(E322&gt;500,K322="East"),"High-Value East (Excluded)",IF(E322&lt;=500,"Standard","Unknown")))</f>
        <v/>
      </c>
    </row>
    <row r="323">
      <c r="A323" s="2" t="inlineStr">
        <is>
          <t>TXN100321</t>
        </is>
      </c>
      <c r="B323" s="2" t="n">
        <v>159</v>
      </c>
      <c r="C323" s="2" t="n">
        <v>26</v>
      </c>
      <c r="D323" s="2" t="inlineStr">
        <is>
          <t>2026-01-29 02:04:00</t>
        </is>
      </c>
      <c r="E323" s="2" t="n">
        <v>99</v>
      </c>
      <c r="F323" s="2" t="inlineStr">
        <is>
          <t>UPI</t>
        </is>
      </c>
      <c r="G323" s="2" t="inlineStr">
        <is>
          <t>captured</t>
        </is>
      </c>
      <c r="H323" s="2" t="n">
        <v>91</v>
      </c>
      <c r="I323" s="2">
        <f>IFERROR(VLOOKUP(C323,Merchants!$A$2:$D$41,2,FALSE),"Merchant not found")</f>
        <v/>
      </c>
      <c r="J323" s="2">
        <f>IFERROR(VLOOKUP(C323,Merchants!$A$2:$D$41,3,FALSE),"Merchant not found")</f>
        <v/>
      </c>
      <c r="K323" s="2">
        <f>IFERROR(VLOOKUP(C323,Merchants!$A$2:$D$41,4,FALSE),"Merchant not found")</f>
        <v/>
      </c>
      <c r="L323" s="2">
        <f>IFERROR(HLOOKUP(F323,Fee_Tiers!$B$4:$E$5,2,FALSE),0)</f>
        <v/>
      </c>
      <c r="M323" s="2">
        <f>IF(AND(E323&gt;500,K323&lt;&gt;"East"),"High-Value Merchant Day",IF(AND(E323&gt;500,K323="East"),"High-Value East (Excluded)",IF(E323&lt;=500,"Standard","Unknown")))</f>
        <v/>
      </c>
    </row>
    <row r="324">
      <c r="A324" s="2" t="inlineStr">
        <is>
          <t>TXN100322</t>
        </is>
      </c>
      <c r="B324" s="2" t="n">
        <v>211</v>
      </c>
      <c r="C324" s="2" t="n">
        <v>27</v>
      </c>
      <c r="D324" s="2" t="inlineStr">
        <is>
          <t>2026-01-24 15:33:00</t>
        </is>
      </c>
      <c r="E324" s="2" t="n">
        <v>99</v>
      </c>
      <c r="F324" s="2" t="inlineStr">
        <is>
          <t>Wallet</t>
        </is>
      </c>
      <c r="G324" s="2" t="inlineStr">
        <is>
          <t>captured</t>
        </is>
      </c>
      <c r="H324" s="2" t="n">
        <v>73</v>
      </c>
      <c r="I324" s="2">
        <f>IFERROR(VLOOKUP(C324,Merchants!$A$2:$D$41,2,FALSE),"Merchant not found")</f>
        <v/>
      </c>
      <c r="J324" s="2">
        <f>IFERROR(VLOOKUP(C324,Merchants!$A$2:$D$41,3,FALSE),"Merchant not found")</f>
        <v/>
      </c>
      <c r="K324" s="2">
        <f>IFERROR(VLOOKUP(C324,Merchants!$A$2:$D$41,4,FALSE),"Merchant not found")</f>
        <v/>
      </c>
      <c r="L324" s="2">
        <f>IFERROR(HLOOKUP(F324,Fee_Tiers!$B$4:$E$5,2,FALSE),0)</f>
        <v/>
      </c>
      <c r="M324" s="2">
        <f>IF(AND(E324&gt;500,K324&lt;&gt;"East"),"High-Value Merchant Day",IF(AND(E324&gt;500,K324="East"),"High-Value East (Excluded)",IF(E324&lt;=500,"Standard","Unknown")))</f>
        <v/>
      </c>
    </row>
    <row r="325">
      <c r="A325" s="2" t="inlineStr">
        <is>
          <t>TXN100323</t>
        </is>
      </c>
      <c r="B325" s="2" t="n">
        <v>329</v>
      </c>
      <c r="C325" s="2" t="n">
        <v>5</v>
      </c>
      <c r="D325" s="2" t="inlineStr">
        <is>
          <t>2026-01-03 04:20:00</t>
        </is>
      </c>
      <c r="E325" s="2" t="n">
        <v>499</v>
      </c>
      <c r="F325" s="2" t="inlineStr">
        <is>
          <t>Netbanking</t>
        </is>
      </c>
      <c r="G325" s="2" t="inlineStr">
        <is>
          <t>captured</t>
        </is>
      </c>
      <c r="H325" s="2" t="n">
        <v>57</v>
      </c>
      <c r="I325" s="2">
        <f>IFERROR(VLOOKUP(C325,Merchants!$A$2:$D$41,2,FALSE),"Merchant not found")</f>
        <v/>
      </c>
      <c r="J325" s="2">
        <f>IFERROR(VLOOKUP(C325,Merchants!$A$2:$D$41,3,FALSE),"Merchant not found")</f>
        <v/>
      </c>
      <c r="K325" s="2">
        <f>IFERROR(VLOOKUP(C325,Merchants!$A$2:$D$41,4,FALSE),"Merchant not found")</f>
        <v/>
      </c>
      <c r="L325" s="2">
        <f>IFERROR(HLOOKUP(F325,Fee_Tiers!$B$4:$E$5,2,FALSE),0)</f>
        <v/>
      </c>
      <c r="M325" s="2">
        <f>IF(AND(E325&gt;500,K325&lt;&gt;"East"),"High-Value Merchant Day",IF(AND(E325&gt;500,K325="East"),"High-Value East (Excluded)",IF(E325&lt;=500,"Standard","Unknown")))</f>
        <v/>
      </c>
    </row>
    <row r="326">
      <c r="A326" s="2" t="inlineStr">
        <is>
          <t>TXN100324</t>
        </is>
      </c>
      <c r="B326" s="2" t="n">
        <v>177</v>
      </c>
      <c r="C326" s="2" t="n">
        <v>9</v>
      </c>
      <c r="D326" s="2" t="inlineStr">
        <is>
          <t>2026-01-15 21:33:00</t>
        </is>
      </c>
      <c r="E326" s="2" t="n">
        <v>99</v>
      </c>
      <c r="F326" s="2" t="inlineStr">
        <is>
          <t>UPI</t>
        </is>
      </c>
      <c r="G326" s="2" t="inlineStr">
        <is>
          <t>captured</t>
        </is>
      </c>
      <c r="H326" s="2" t="n">
        <v>99</v>
      </c>
      <c r="I326" s="2">
        <f>IFERROR(VLOOKUP(C326,Merchants!$A$2:$D$41,2,FALSE),"Merchant not found")</f>
        <v/>
      </c>
      <c r="J326" s="2">
        <f>IFERROR(VLOOKUP(C326,Merchants!$A$2:$D$41,3,FALSE),"Merchant not found")</f>
        <v/>
      </c>
      <c r="K326" s="2">
        <f>IFERROR(VLOOKUP(C326,Merchants!$A$2:$D$41,4,FALSE),"Merchant not found")</f>
        <v/>
      </c>
      <c r="L326" s="2">
        <f>IFERROR(HLOOKUP(F326,Fee_Tiers!$B$4:$E$5,2,FALSE),0)</f>
        <v/>
      </c>
      <c r="M326" s="2">
        <f>IF(AND(E326&gt;500,K326&lt;&gt;"East"),"High-Value Merchant Day",IF(AND(E326&gt;500,K326="East"),"High-Value East (Excluded)",IF(E326&lt;=500,"Standard","Unknown")))</f>
        <v/>
      </c>
    </row>
    <row r="327">
      <c r="A327" s="2" t="inlineStr">
        <is>
          <t>TXN100325</t>
        </is>
      </c>
      <c r="B327" s="2" t="n">
        <v>94</v>
      </c>
      <c r="C327" s="2" t="n">
        <v>9</v>
      </c>
      <c r="D327" s="2" t="inlineStr">
        <is>
          <t>2026-01-18 20:37:00</t>
        </is>
      </c>
      <c r="E327" s="2" t="n">
        <v>299</v>
      </c>
      <c r="F327" s="2" t="inlineStr">
        <is>
          <t>UPI</t>
        </is>
      </c>
      <c r="G327" s="2" t="inlineStr">
        <is>
          <t>captured</t>
        </is>
      </c>
      <c r="H327" s="2" t="n">
        <v>55</v>
      </c>
      <c r="I327" s="2">
        <f>IFERROR(VLOOKUP(C327,Merchants!$A$2:$D$41,2,FALSE),"Merchant not found")</f>
        <v/>
      </c>
      <c r="J327" s="2">
        <f>IFERROR(VLOOKUP(C327,Merchants!$A$2:$D$41,3,FALSE),"Merchant not found")</f>
        <v/>
      </c>
      <c r="K327" s="2">
        <f>IFERROR(VLOOKUP(C327,Merchants!$A$2:$D$41,4,FALSE),"Merchant not found")</f>
        <v/>
      </c>
      <c r="L327" s="2">
        <f>IFERROR(HLOOKUP(F327,Fee_Tiers!$B$4:$E$5,2,FALSE),0)</f>
        <v/>
      </c>
      <c r="M327" s="2">
        <f>IF(AND(E327&gt;500,K327&lt;&gt;"East"),"High-Value Merchant Day",IF(AND(E327&gt;500,K327="East"),"High-Value East (Excluded)",IF(E327&lt;=500,"Standard","Unknown")))</f>
        <v/>
      </c>
    </row>
    <row r="328">
      <c r="A328" s="2" t="inlineStr">
        <is>
          <t>TXN100326</t>
        </is>
      </c>
      <c r="B328" s="2" t="n">
        <v>64</v>
      </c>
      <c r="C328" s="2" t="n">
        <v>34</v>
      </c>
      <c r="D328" s="2" t="inlineStr">
        <is>
          <t>2026-01-17 01:53:00</t>
        </is>
      </c>
      <c r="E328" s="2" t="n">
        <v>299</v>
      </c>
      <c r="F328" s="2" t="inlineStr">
        <is>
          <t>UPI</t>
        </is>
      </c>
      <c r="G328" s="2" t="inlineStr">
        <is>
          <t>captured</t>
        </is>
      </c>
      <c r="H328" s="2" t="n">
        <v>19</v>
      </c>
      <c r="I328" s="2">
        <f>IFERROR(VLOOKUP(C328,Merchants!$A$2:$D$41,2,FALSE),"Merchant not found")</f>
        <v/>
      </c>
      <c r="J328" s="2">
        <f>IFERROR(VLOOKUP(C328,Merchants!$A$2:$D$41,3,FALSE),"Merchant not found")</f>
        <v/>
      </c>
      <c r="K328" s="2">
        <f>IFERROR(VLOOKUP(C328,Merchants!$A$2:$D$41,4,FALSE),"Merchant not found")</f>
        <v/>
      </c>
      <c r="L328" s="2">
        <f>IFERROR(HLOOKUP(F328,Fee_Tiers!$B$4:$E$5,2,FALSE),0)</f>
        <v/>
      </c>
      <c r="M328" s="2">
        <f>IF(AND(E328&gt;500,K328&lt;&gt;"East"),"High-Value Merchant Day",IF(AND(E328&gt;500,K328="East"),"High-Value East (Excluded)",IF(E328&lt;=500,"Standard","Unknown")))</f>
        <v/>
      </c>
    </row>
    <row r="329">
      <c r="A329" s="2" t="inlineStr">
        <is>
          <t>TXN100327</t>
        </is>
      </c>
      <c r="B329" s="2" t="n">
        <v>166</v>
      </c>
      <c r="C329" s="2" t="n">
        <v>15</v>
      </c>
      <c r="D329" s="2" t="inlineStr">
        <is>
          <t>2026-01-10 05:10:00</t>
        </is>
      </c>
      <c r="E329" s="2" t="n">
        <v>49</v>
      </c>
      <c r="F329" s="2" t="inlineStr">
        <is>
          <t>UPI</t>
        </is>
      </c>
      <c r="G329" s="2" t="inlineStr">
        <is>
          <t>captured</t>
        </is>
      </c>
      <c r="H329" s="2" t="n">
        <v>44</v>
      </c>
      <c r="I329" s="2">
        <f>IFERROR(VLOOKUP(C329,Merchants!$A$2:$D$41,2,FALSE),"Merchant not found")</f>
        <v/>
      </c>
      <c r="J329" s="2">
        <f>IFERROR(VLOOKUP(C329,Merchants!$A$2:$D$41,3,FALSE),"Merchant not found")</f>
        <v/>
      </c>
      <c r="K329" s="2">
        <f>IFERROR(VLOOKUP(C329,Merchants!$A$2:$D$41,4,FALSE),"Merchant not found")</f>
        <v/>
      </c>
      <c r="L329" s="2">
        <f>IFERROR(HLOOKUP(F329,Fee_Tiers!$B$4:$E$5,2,FALSE),0)</f>
        <v/>
      </c>
      <c r="M329" s="2">
        <f>IF(AND(E329&gt;500,K329&lt;&gt;"East"),"High-Value Merchant Day",IF(AND(E329&gt;500,K329="East"),"High-Value East (Excluded)",IF(E329&lt;=500,"Standard","Unknown")))</f>
        <v/>
      </c>
    </row>
    <row r="330">
      <c r="A330" s="2" t="inlineStr">
        <is>
          <t>TXN100328</t>
        </is>
      </c>
      <c r="B330" s="2" t="n">
        <v>41</v>
      </c>
      <c r="C330" s="2" t="n">
        <v>17</v>
      </c>
      <c r="D330" s="2" t="inlineStr">
        <is>
          <t>2026-01-17 09:54:00</t>
        </is>
      </c>
      <c r="E330" s="2" t="n">
        <v>299</v>
      </c>
      <c r="F330" s="2" t="inlineStr">
        <is>
          <t>Wallet</t>
        </is>
      </c>
      <c r="G330" s="2" t="inlineStr">
        <is>
          <t>captured</t>
        </is>
      </c>
      <c r="H330" s="2" t="n">
        <v>25</v>
      </c>
      <c r="I330" s="2">
        <f>IFERROR(VLOOKUP(C330,Merchants!$A$2:$D$41,2,FALSE),"Merchant not found")</f>
        <v/>
      </c>
      <c r="J330" s="2">
        <f>IFERROR(VLOOKUP(C330,Merchants!$A$2:$D$41,3,FALSE),"Merchant not found")</f>
        <v/>
      </c>
      <c r="K330" s="2">
        <f>IFERROR(VLOOKUP(C330,Merchants!$A$2:$D$41,4,FALSE),"Merchant not found")</f>
        <v/>
      </c>
      <c r="L330" s="2">
        <f>IFERROR(HLOOKUP(F330,Fee_Tiers!$B$4:$E$5,2,FALSE),0)</f>
        <v/>
      </c>
      <c r="M330" s="2">
        <f>IF(AND(E330&gt;500,K330&lt;&gt;"East"),"High-Value Merchant Day",IF(AND(E330&gt;500,K330="East"),"High-Value East (Excluded)",IF(E330&lt;=500,"Standard","Unknown")))</f>
        <v/>
      </c>
    </row>
    <row r="331">
      <c r="A331" s="2" t="inlineStr">
        <is>
          <t>TXN100329</t>
        </is>
      </c>
      <c r="B331" s="2" t="n">
        <v>65</v>
      </c>
      <c r="C331" s="2" t="n">
        <v>20</v>
      </c>
      <c r="D331" s="2" t="inlineStr">
        <is>
          <t>2026-01-21 17:17:00</t>
        </is>
      </c>
      <c r="E331" s="2" t="n">
        <v>99</v>
      </c>
      <c r="F331" s="2" t="inlineStr">
        <is>
          <t>Card</t>
        </is>
      </c>
      <c r="G331" s="2" t="inlineStr">
        <is>
          <t>captured</t>
        </is>
      </c>
      <c r="H331" s="2" t="n">
        <v>78</v>
      </c>
      <c r="I331" s="2">
        <f>IFERROR(VLOOKUP(C331,Merchants!$A$2:$D$41,2,FALSE),"Merchant not found")</f>
        <v/>
      </c>
      <c r="J331" s="2">
        <f>IFERROR(VLOOKUP(C331,Merchants!$A$2:$D$41,3,FALSE),"Merchant not found")</f>
        <v/>
      </c>
      <c r="K331" s="2">
        <f>IFERROR(VLOOKUP(C331,Merchants!$A$2:$D$41,4,FALSE),"Merchant not found")</f>
        <v/>
      </c>
      <c r="L331" s="2">
        <f>IFERROR(HLOOKUP(F331,Fee_Tiers!$B$4:$E$5,2,FALSE),0)</f>
        <v/>
      </c>
      <c r="M331" s="2">
        <f>IF(AND(E331&gt;500,K331&lt;&gt;"East"),"High-Value Merchant Day",IF(AND(E331&gt;500,K331="East"),"High-Value East (Excluded)",IF(E331&lt;=500,"Standard","Unknown")))</f>
        <v/>
      </c>
    </row>
    <row r="332">
      <c r="A332" s="2" t="inlineStr">
        <is>
          <t>TXN100330</t>
        </is>
      </c>
      <c r="B332" s="2" t="n">
        <v>329</v>
      </c>
      <c r="C332" s="2" t="n">
        <v>11</v>
      </c>
      <c r="D332" s="2" t="inlineStr">
        <is>
          <t>2026-01-18 02:32:00</t>
        </is>
      </c>
      <c r="E332" s="2" t="n">
        <v>499</v>
      </c>
      <c r="F332" s="2" t="inlineStr">
        <is>
          <t>UPI</t>
        </is>
      </c>
      <c r="G332" s="2" t="inlineStr">
        <is>
          <t>captured</t>
        </is>
      </c>
      <c r="H332" s="2" t="n">
        <v>75</v>
      </c>
      <c r="I332" s="2">
        <f>IFERROR(VLOOKUP(C332,Merchants!$A$2:$D$41,2,FALSE),"Merchant not found")</f>
        <v/>
      </c>
      <c r="J332" s="2">
        <f>IFERROR(VLOOKUP(C332,Merchants!$A$2:$D$41,3,FALSE),"Merchant not found")</f>
        <v/>
      </c>
      <c r="K332" s="2">
        <f>IFERROR(VLOOKUP(C332,Merchants!$A$2:$D$41,4,FALSE),"Merchant not found")</f>
        <v/>
      </c>
      <c r="L332" s="2">
        <f>IFERROR(HLOOKUP(F332,Fee_Tiers!$B$4:$E$5,2,FALSE),0)</f>
        <v/>
      </c>
      <c r="M332" s="2">
        <f>IF(AND(E332&gt;500,K332&lt;&gt;"East"),"High-Value Merchant Day",IF(AND(E332&gt;500,K332="East"),"High-Value East (Excluded)",IF(E332&lt;=500,"Standard","Unknown")))</f>
        <v/>
      </c>
    </row>
    <row r="333">
      <c r="A333" s="2" t="inlineStr">
        <is>
          <t>TXN100331</t>
        </is>
      </c>
      <c r="B333" s="2" t="n">
        <v>338</v>
      </c>
      <c r="C333" s="2" t="n">
        <v>40</v>
      </c>
      <c r="D333" s="2" t="inlineStr">
        <is>
          <t>2026-01-19 04:10:00</t>
        </is>
      </c>
      <c r="E333" s="2" t="n">
        <v>149</v>
      </c>
      <c r="F333" s="2" t="inlineStr">
        <is>
          <t>UPI</t>
        </is>
      </c>
      <c r="G333" s="2" t="inlineStr">
        <is>
          <t>captured</t>
        </is>
      </c>
      <c r="H333" s="2" t="n">
        <v>92</v>
      </c>
      <c r="I333" s="2">
        <f>IFERROR(VLOOKUP(C333,Merchants!$A$2:$D$41,2,FALSE),"Merchant not found")</f>
        <v/>
      </c>
      <c r="J333" s="2">
        <f>IFERROR(VLOOKUP(C333,Merchants!$A$2:$D$41,3,FALSE),"Merchant not found")</f>
        <v/>
      </c>
      <c r="K333" s="2">
        <f>IFERROR(VLOOKUP(C333,Merchants!$A$2:$D$41,4,FALSE),"Merchant not found")</f>
        <v/>
      </c>
      <c r="L333" s="2">
        <f>IFERROR(HLOOKUP(F333,Fee_Tiers!$B$4:$E$5,2,FALSE),0)</f>
        <v/>
      </c>
      <c r="M333" s="2">
        <f>IF(AND(E333&gt;500,K333&lt;&gt;"East"),"High-Value Merchant Day",IF(AND(E333&gt;500,K333="East"),"High-Value East (Excluded)",IF(E333&lt;=500,"Standard","Unknown")))</f>
        <v/>
      </c>
    </row>
    <row r="334">
      <c r="A334" s="2" t="inlineStr">
        <is>
          <t>TXN100332</t>
        </is>
      </c>
      <c r="B334" s="2" t="n">
        <v>289</v>
      </c>
      <c r="C334" s="2" t="n">
        <v>3</v>
      </c>
      <c r="D334" s="2" t="inlineStr">
        <is>
          <t>2026-01-29 19:21:00</t>
        </is>
      </c>
      <c r="E334" s="2" t="n">
        <v>49</v>
      </c>
      <c r="F334" s="2" t="inlineStr">
        <is>
          <t>Netbanking</t>
        </is>
      </c>
      <c r="G334" s="2" t="inlineStr">
        <is>
          <t>captured</t>
        </is>
      </c>
      <c r="H334" s="2" t="n">
        <v>3</v>
      </c>
      <c r="I334" s="2">
        <f>IFERROR(VLOOKUP(C334,Merchants!$A$2:$D$41,2,FALSE),"Merchant not found")</f>
        <v/>
      </c>
      <c r="J334" s="2">
        <f>IFERROR(VLOOKUP(C334,Merchants!$A$2:$D$41,3,FALSE),"Merchant not found")</f>
        <v/>
      </c>
      <c r="K334" s="2">
        <f>IFERROR(VLOOKUP(C334,Merchants!$A$2:$D$41,4,FALSE),"Merchant not found")</f>
        <v/>
      </c>
      <c r="L334" s="2">
        <f>IFERROR(HLOOKUP(F334,Fee_Tiers!$B$4:$E$5,2,FALSE),0)</f>
        <v/>
      </c>
      <c r="M334" s="2">
        <f>IF(AND(E334&gt;500,K334&lt;&gt;"East"),"High-Value Merchant Day",IF(AND(E334&gt;500,K334="East"),"High-Value East (Excluded)",IF(E334&lt;=500,"Standard","Unknown")))</f>
        <v/>
      </c>
    </row>
    <row r="335">
      <c r="A335" s="2" t="inlineStr">
        <is>
          <t>TXN100333</t>
        </is>
      </c>
      <c r="B335" s="2" t="n">
        <v>296</v>
      </c>
      <c r="C335" s="2" t="n">
        <v>17</v>
      </c>
      <c r="D335" s="2" t="inlineStr">
        <is>
          <t>2026-01-03 01:41:00</t>
        </is>
      </c>
      <c r="E335" s="2" t="n">
        <v>99</v>
      </c>
      <c r="F335" s="2" t="inlineStr">
        <is>
          <t>UPI</t>
        </is>
      </c>
      <c r="G335" s="2" t="inlineStr">
        <is>
          <t>captured</t>
        </is>
      </c>
      <c r="H335" s="2" t="n">
        <v>83</v>
      </c>
      <c r="I335" s="2">
        <f>IFERROR(VLOOKUP(C335,Merchants!$A$2:$D$41,2,FALSE),"Merchant not found")</f>
        <v/>
      </c>
      <c r="J335" s="2">
        <f>IFERROR(VLOOKUP(C335,Merchants!$A$2:$D$41,3,FALSE),"Merchant not found")</f>
        <v/>
      </c>
      <c r="K335" s="2">
        <f>IFERROR(VLOOKUP(C335,Merchants!$A$2:$D$41,4,FALSE),"Merchant not found")</f>
        <v/>
      </c>
      <c r="L335" s="2">
        <f>IFERROR(HLOOKUP(F335,Fee_Tiers!$B$4:$E$5,2,FALSE),0)</f>
        <v/>
      </c>
      <c r="M335" s="2">
        <f>IF(AND(E335&gt;500,K335&lt;&gt;"East"),"High-Value Merchant Day",IF(AND(E335&gt;500,K335="East"),"High-Value East (Excluded)",IF(E335&lt;=500,"Standard","Unknown")))</f>
        <v/>
      </c>
    </row>
    <row r="336">
      <c r="A336" s="2" t="inlineStr">
        <is>
          <t>TXN100334</t>
        </is>
      </c>
      <c r="B336" s="2" t="n">
        <v>317</v>
      </c>
      <c r="C336" s="2" t="n">
        <v>2</v>
      </c>
      <c r="D336" s="2" t="inlineStr">
        <is>
          <t>2026-01-07 18:26:00</t>
        </is>
      </c>
      <c r="E336" s="2" t="n">
        <v>499</v>
      </c>
      <c r="F336" s="2" t="inlineStr">
        <is>
          <t>Card</t>
        </is>
      </c>
      <c r="G336" s="2" t="inlineStr">
        <is>
          <t>captured</t>
        </is>
      </c>
      <c r="H336" s="2" t="n">
        <v>63</v>
      </c>
      <c r="I336" s="2">
        <f>IFERROR(VLOOKUP(C336,Merchants!$A$2:$D$41,2,FALSE),"Merchant not found")</f>
        <v/>
      </c>
      <c r="J336" s="2">
        <f>IFERROR(VLOOKUP(C336,Merchants!$A$2:$D$41,3,FALSE),"Merchant not found")</f>
        <v/>
      </c>
      <c r="K336" s="2">
        <f>IFERROR(VLOOKUP(C336,Merchants!$A$2:$D$41,4,FALSE),"Merchant not found")</f>
        <v/>
      </c>
      <c r="L336" s="2">
        <f>IFERROR(HLOOKUP(F336,Fee_Tiers!$B$4:$E$5,2,FALSE),0)</f>
        <v/>
      </c>
      <c r="M336" s="2">
        <f>IF(AND(E336&gt;500,K336&lt;&gt;"East"),"High-Value Merchant Day",IF(AND(E336&gt;500,K336="East"),"High-Value East (Excluded)",IF(E336&lt;=500,"Standard","Unknown")))</f>
        <v/>
      </c>
    </row>
    <row r="337">
      <c r="A337" s="2" t="inlineStr">
        <is>
          <t>TXN100335</t>
        </is>
      </c>
      <c r="B337" s="2" t="n">
        <v>149</v>
      </c>
      <c r="C337" s="2" t="n">
        <v>20</v>
      </c>
      <c r="D337" s="2" t="inlineStr">
        <is>
          <t>2026-01-29 20:34:00</t>
        </is>
      </c>
      <c r="E337" s="2" t="n">
        <v>499</v>
      </c>
      <c r="F337" s="2" t="inlineStr">
        <is>
          <t>Card</t>
        </is>
      </c>
      <c r="G337" s="2" t="inlineStr">
        <is>
          <t>captured</t>
        </is>
      </c>
      <c r="H337" s="2" t="n">
        <v>61</v>
      </c>
      <c r="I337" s="2">
        <f>IFERROR(VLOOKUP(C337,Merchants!$A$2:$D$41,2,FALSE),"Merchant not found")</f>
        <v/>
      </c>
      <c r="J337" s="2">
        <f>IFERROR(VLOOKUP(C337,Merchants!$A$2:$D$41,3,FALSE),"Merchant not found")</f>
        <v/>
      </c>
      <c r="K337" s="2">
        <f>IFERROR(VLOOKUP(C337,Merchants!$A$2:$D$41,4,FALSE),"Merchant not found")</f>
        <v/>
      </c>
      <c r="L337" s="2">
        <f>IFERROR(HLOOKUP(F337,Fee_Tiers!$B$4:$E$5,2,FALSE),0)</f>
        <v/>
      </c>
      <c r="M337" s="2">
        <f>IF(AND(E337&gt;500,K337&lt;&gt;"East"),"High-Value Merchant Day",IF(AND(E337&gt;500,K337="East"),"High-Value East (Excluded)",IF(E337&lt;=500,"Standard","Unknown")))</f>
        <v/>
      </c>
    </row>
    <row r="338">
      <c r="A338" s="2" t="inlineStr">
        <is>
          <t>TXN100336</t>
        </is>
      </c>
      <c r="B338" s="2" t="n">
        <v>153</v>
      </c>
      <c r="C338" s="2" t="n">
        <v>30</v>
      </c>
      <c r="D338" s="2" t="inlineStr">
        <is>
          <t>2026-01-08 21:25:00</t>
        </is>
      </c>
      <c r="E338" s="2" t="n">
        <v>299</v>
      </c>
      <c r="F338" s="2" t="inlineStr">
        <is>
          <t>UPI</t>
        </is>
      </c>
      <c r="G338" s="2" t="inlineStr">
        <is>
          <t>captured</t>
        </is>
      </c>
      <c r="H338" s="2" t="n">
        <v>9</v>
      </c>
      <c r="I338" s="2">
        <f>IFERROR(VLOOKUP(C338,Merchants!$A$2:$D$41,2,FALSE),"Merchant not found")</f>
        <v/>
      </c>
      <c r="J338" s="2">
        <f>IFERROR(VLOOKUP(C338,Merchants!$A$2:$D$41,3,FALSE),"Merchant not found")</f>
        <v/>
      </c>
      <c r="K338" s="2">
        <f>IFERROR(VLOOKUP(C338,Merchants!$A$2:$D$41,4,FALSE),"Merchant not found")</f>
        <v/>
      </c>
      <c r="L338" s="2">
        <f>IFERROR(HLOOKUP(F338,Fee_Tiers!$B$4:$E$5,2,FALSE),0)</f>
        <v/>
      </c>
      <c r="M338" s="2">
        <f>IF(AND(E338&gt;500,K338&lt;&gt;"East"),"High-Value Merchant Day",IF(AND(E338&gt;500,K338="East"),"High-Value East (Excluded)",IF(E338&lt;=500,"Standard","Unknown")))</f>
        <v/>
      </c>
    </row>
    <row r="339">
      <c r="A339" s="2" t="inlineStr">
        <is>
          <t>TXN100337</t>
        </is>
      </c>
      <c r="B339" s="2" t="n">
        <v>226</v>
      </c>
      <c r="C339" s="2" t="n">
        <v>27</v>
      </c>
      <c r="D339" s="2" t="inlineStr">
        <is>
          <t>2026-01-23 01:10:00</t>
        </is>
      </c>
      <c r="E339" s="2" t="n">
        <v>2999</v>
      </c>
      <c r="F339" s="2" t="inlineStr">
        <is>
          <t>UPI</t>
        </is>
      </c>
      <c r="G339" s="2" t="inlineStr">
        <is>
          <t>chargeback</t>
        </is>
      </c>
      <c r="H339" s="2" t="n">
        <v>61</v>
      </c>
      <c r="I339" s="2">
        <f>IFERROR(VLOOKUP(C339,Merchants!$A$2:$D$41,2,FALSE),"Merchant not found")</f>
        <v/>
      </c>
      <c r="J339" s="2">
        <f>IFERROR(VLOOKUP(C339,Merchants!$A$2:$D$41,3,FALSE),"Merchant not found")</f>
        <v/>
      </c>
      <c r="K339" s="2">
        <f>IFERROR(VLOOKUP(C339,Merchants!$A$2:$D$41,4,FALSE),"Merchant not found")</f>
        <v/>
      </c>
      <c r="L339" s="2">
        <f>IFERROR(HLOOKUP(F339,Fee_Tiers!$B$4:$E$5,2,FALSE),0)</f>
        <v/>
      </c>
      <c r="M339" s="2">
        <f>IF(AND(E339&gt;500,K339&lt;&gt;"East"),"High-Value Merchant Day",IF(AND(E339&gt;500,K339="East"),"High-Value East (Excluded)",IF(E339&lt;=500,"Standard","Unknown")))</f>
        <v/>
      </c>
    </row>
    <row r="340">
      <c r="A340" s="2" t="inlineStr">
        <is>
          <t>TXN100338</t>
        </is>
      </c>
      <c r="B340" s="2" t="n">
        <v>311</v>
      </c>
      <c r="C340" s="2" t="n">
        <v>10</v>
      </c>
      <c r="D340" s="2" t="inlineStr">
        <is>
          <t>2026-01-15 06:21:00</t>
        </is>
      </c>
      <c r="E340" s="2" t="n">
        <v>2999</v>
      </c>
      <c r="F340" s="2" t="inlineStr">
        <is>
          <t>UPI</t>
        </is>
      </c>
      <c r="G340" s="2" t="inlineStr">
        <is>
          <t>captured</t>
        </is>
      </c>
      <c r="H340" s="2" t="n">
        <v>40</v>
      </c>
      <c r="I340" s="2">
        <f>IFERROR(VLOOKUP(C340,Merchants!$A$2:$D$41,2,FALSE),"Merchant not found")</f>
        <v/>
      </c>
      <c r="J340" s="2">
        <f>IFERROR(VLOOKUP(C340,Merchants!$A$2:$D$41,3,FALSE),"Merchant not found")</f>
        <v/>
      </c>
      <c r="K340" s="2">
        <f>IFERROR(VLOOKUP(C340,Merchants!$A$2:$D$41,4,FALSE),"Merchant not found")</f>
        <v/>
      </c>
      <c r="L340" s="2">
        <f>IFERROR(HLOOKUP(F340,Fee_Tiers!$B$4:$E$5,2,FALSE),0)</f>
        <v/>
      </c>
      <c r="M340" s="2">
        <f>IF(AND(E340&gt;500,K340&lt;&gt;"East"),"High-Value Merchant Day",IF(AND(E340&gt;500,K340="East"),"High-Value East (Excluded)",IF(E340&lt;=500,"Standard","Unknown")))</f>
        <v/>
      </c>
    </row>
    <row r="341">
      <c r="A341" s="2" t="inlineStr">
        <is>
          <t>TXN100339</t>
        </is>
      </c>
      <c r="B341" s="2" t="n">
        <v>177</v>
      </c>
      <c r="C341" s="2" t="n">
        <v>26</v>
      </c>
      <c r="D341" s="2" t="inlineStr">
        <is>
          <t>2026-01-28 22:20:00</t>
        </is>
      </c>
      <c r="E341" s="2" t="n">
        <v>1499</v>
      </c>
      <c r="F341" s="2" t="inlineStr">
        <is>
          <t>UPI</t>
        </is>
      </c>
      <c r="G341" s="2" t="inlineStr">
        <is>
          <t>captured</t>
        </is>
      </c>
      <c r="H341" s="2" t="n">
        <v>16</v>
      </c>
      <c r="I341" s="2">
        <f>IFERROR(VLOOKUP(C341,Merchants!$A$2:$D$41,2,FALSE),"Merchant not found")</f>
        <v/>
      </c>
      <c r="J341" s="2">
        <f>IFERROR(VLOOKUP(C341,Merchants!$A$2:$D$41,3,FALSE),"Merchant not found")</f>
        <v/>
      </c>
      <c r="K341" s="2">
        <f>IFERROR(VLOOKUP(C341,Merchants!$A$2:$D$41,4,FALSE),"Merchant not found")</f>
        <v/>
      </c>
      <c r="L341" s="2">
        <f>IFERROR(HLOOKUP(F341,Fee_Tiers!$B$4:$E$5,2,FALSE),0)</f>
        <v/>
      </c>
      <c r="M341" s="2">
        <f>IF(AND(E341&gt;500,K341&lt;&gt;"East"),"High-Value Merchant Day",IF(AND(E341&gt;500,K341="East"),"High-Value East (Excluded)",IF(E341&lt;=500,"Standard","Unknown")))</f>
        <v/>
      </c>
    </row>
    <row r="342">
      <c r="A342" s="2" t="inlineStr">
        <is>
          <t>TXN100340</t>
        </is>
      </c>
      <c r="B342" s="2" t="n">
        <v>288</v>
      </c>
      <c r="C342" s="2" t="n">
        <v>7</v>
      </c>
      <c r="D342" s="2" t="inlineStr">
        <is>
          <t>2026-01-25 11:32:00</t>
        </is>
      </c>
      <c r="E342" s="2" t="n">
        <v>99</v>
      </c>
      <c r="F342" s="2" t="inlineStr">
        <is>
          <t>Netbanking</t>
        </is>
      </c>
      <c r="G342" s="2" t="inlineStr">
        <is>
          <t>captured</t>
        </is>
      </c>
      <c r="H342" s="2" t="n">
        <v>40</v>
      </c>
      <c r="I342" s="2">
        <f>IFERROR(VLOOKUP(C342,Merchants!$A$2:$D$41,2,FALSE),"Merchant not found")</f>
        <v/>
      </c>
      <c r="J342" s="2">
        <f>IFERROR(VLOOKUP(C342,Merchants!$A$2:$D$41,3,FALSE),"Merchant not found")</f>
        <v/>
      </c>
      <c r="K342" s="2">
        <f>IFERROR(VLOOKUP(C342,Merchants!$A$2:$D$41,4,FALSE),"Merchant not found")</f>
        <v/>
      </c>
      <c r="L342" s="2">
        <f>IFERROR(HLOOKUP(F342,Fee_Tiers!$B$4:$E$5,2,FALSE),0)</f>
        <v/>
      </c>
      <c r="M342" s="2">
        <f>IF(AND(E342&gt;500,K342&lt;&gt;"East"),"High-Value Merchant Day",IF(AND(E342&gt;500,K342="East"),"High-Value East (Excluded)",IF(E342&lt;=500,"Standard","Unknown")))</f>
        <v/>
      </c>
    </row>
    <row r="343">
      <c r="A343" s="2" t="inlineStr">
        <is>
          <t>TXN100341</t>
        </is>
      </c>
      <c r="B343" s="2" t="n">
        <v>137</v>
      </c>
      <c r="C343" s="2" t="n">
        <v>29</v>
      </c>
      <c r="D343" s="2" t="inlineStr">
        <is>
          <t>2026-01-08 14:07:00</t>
        </is>
      </c>
      <c r="E343" s="2" t="n">
        <v>2999</v>
      </c>
      <c r="F343" s="2" t="inlineStr">
        <is>
          <t>UPI</t>
        </is>
      </c>
      <c r="G343" s="2" t="inlineStr">
        <is>
          <t>failed</t>
        </is>
      </c>
      <c r="H343" s="2" t="n">
        <v>31</v>
      </c>
      <c r="I343" s="2">
        <f>IFERROR(VLOOKUP(C343,Merchants!$A$2:$D$41,2,FALSE),"Merchant not found")</f>
        <v/>
      </c>
      <c r="J343" s="2">
        <f>IFERROR(VLOOKUP(C343,Merchants!$A$2:$D$41,3,FALSE),"Merchant not found")</f>
        <v/>
      </c>
      <c r="K343" s="2">
        <f>IFERROR(VLOOKUP(C343,Merchants!$A$2:$D$41,4,FALSE),"Merchant not found")</f>
        <v/>
      </c>
      <c r="L343" s="2">
        <f>IFERROR(HLOOKUP(F343,Fee_Tiers!$B$4:$E$5,2,FALSE),0)</f>
        <v/>
      </c>
      <c r="M343" s="2">
        <f>IF(AND(E343&gt;500,K343&lt;&gt;"East"),"High-Value Merchant Day",IF(AND(E343&gt;500,K343="East"),"High-Value East (Excluded)",IF(E343&lt;=500,"Standard","Unknown")))</f>
        <v/>
      </c>
    </row>
    <row r="344">
      <c r="A344" s="2" t="inlineStr">
        <is>
          <t>TXN100342</t>
        </is>
      </c>
      <c r="B344" s="2" t="n">
        <v>149</v>
      </c>
      <c r="C344" s="2" t="n">
        <v>25</v>
      </c>
      <c r="D344" s="2" t="inlineStr">
        <is>
          <t>2026-01-05 03:03:00</t>
        </is>
      </c>
      <c r="E344" s="2" t="n">
        <v>1499</v>
      </c>
      <c r="F344" s="2" t="inlineStr">
        <is>
          <t>UPI</t>
        </is>
      </c>
      <c r="G344" s="2" t="inlineStr">
        <is>
          <t>captured</t>
        </is>
      </c>
      <c r="H344" s="2" t="n">
        <v>78</v>
      </c>
      <c r="I344" s="2">
        <f>IFERROR(VLOOKUP(C344,Merchants!$A$2:$D$41,2,FALSE),"Merchant not found")</f>
        <v/>
      </c>
      <c r="J344" s="2">
        <f>IFERROR(VLOOKUP(C344,Merchants!$A$2:$D$41,3,FALSE),"Merchant not found")</f>
        <v/>
      </c>
      <c r="K344" s="2">
        <f>IFERROR(VLOOKUP(C344,Merchants!$A$2:$D$41,4,FALSE),"Merchant not found")</f>
        <v/>
      </c>
      <c r="L344" s="2">
        <f>IFERROR(HLOOKUP(F344,Fee_Tiers!$B$4:$E$5,2,FALSE),0)</f>
        <v/>
      </c>
      <c r="M344" s="2">
        <f>IF(AND(E344&gt;500,K344&lt;&gt;"East"),"High-Value Merchant Day",IF(AND(E344&gt;500,K344="East"),"High-Value East (Excluded)",IF(E344&lt;=500,"Standard","Unknown")))</f>
        <v/>
      </c>
    </row>
    <row r="345">
      <c r="A345" s="2" t="inlineStr">
        <is>
          <t>TXN100343</t>
        </is>
      </c>
      <c r="B345" s="2" t="n">
        <v>82</v>
      </c>
      <c r="C345" s="2" t="n">
        <v>21</v>
      </c>
      <c r="D345" s="2" t="inlineStr">
        <is>
          <t>2026-01-14 07:55:00</t>
        </is>
      </c>
      <c r="E345" s="2" t="n">
        <v>49</v>
      </c>
      <c r="F345" s="2" t="inlineStr">
        <is>
          <t>Wallet</t>
        </is>
      </c>
      <c r="G345" s="2" t="inlineStr">
        <is>
          <t>captured</t>
        </is>
      </c>
      <c r="H345" s="2" t="n">
        <v>73</v>
      </c>
      <c r="I345" s="2">
        <f>IFERROR(VLOOKUP(C345,Merchants!$A$2:$D$41,2,FALSE),"Merchant not found")</f>
        <v/>
      </c>
      <c r="J345" s="2">
        <f>IFERROR(VLOOKUP(C345,Merchants!$A$2:$D$41,3,FALSE),"Merchant not found")</f>
        <v/>
      </c>
      <c r="K345" s="2">
        <f>IFERROR(VLOOKUP(C345,Merchants!$A$2:$D$41,4,FALSE),"Merchant not found")</f>
        <v/>
      </c>
      <c r="L345" s="2">
        <f>IFERROR(HLOOKUP(F345,Fee_Tiers!$B$4:$E$5,2,FALSE),0)</f>
        <v/>
      </c>
      <c r="M345" s="2">
        <f>IF(AND(E345&gt;500,K345&lt;&gt;"East"),"High-Value Merchant Day",IF(AND(E345&gt;500,K345="East"),"High-Value East (Excluded)",IF(E345&lt;=500,"Standard","Unknown")))</f>
        <v/>
      </c>
    </row>
    <row r="346">
      <c r="A346" s="2" t="inlineStr">
        <is>
          <t>TXN100344</t>
        </is>
      </c>
      <c r="B346" s="2" t="n">
        <v>82</v>
      </c>
      <c r="C346" s="2" t="n">
        <v>32</v>
      </c>
      <c r="D346" s="2" t="inlineStr">
        <is>
          <t>2026-01-24 10:12:00</t>
        </is>
      </c>
      <c r="E346" s="2" t="n">
        <v>49</v>
      </c>
      <c r="F346" s="2" t="inlineStr">
        <is>
          <t>UPI</t>
        </is>
      </c>
      <c r="G346" s="2" t="inlineStr">
        <is>
          <t>captured</t>
        </is>
      </c>
      <c r="H346" s="2" t="n">
        <v>65</v>
      </c>
      <c r="I346" s="2">
        <f>IFERROR(VLOOKUP(C346,Merchants!$A$2:$D$41,2,FALSE),"Merchant not found")</f>
        <v/>
      </c>
      <c r="J346" s="2">
        <f>IFERROR(VLOOKUP(C346,Merchants!$A$2:$D$41,3,FALSE),"Merchant not found")</f>
        <v/>
      </c>
      <c r="K346" s="2">
        <f>IFERROR(VLOOKUP(C346,Merchants!$A$2:$D$41,4,FALSE),"Merchant not found")</f>
        <v/>
      </c>
      <c r="L346" s="2">
        <f>IFERROR(HLOOKUP(F346,Fee_Tiers!$B$4:$E$5,2,FALSE),0)</f>
        <v/>
      </c>
      <c r="M346" s="2">
        <f>IF(AND(E346&gt;500,K346&lt;&gt;"East"),"High-Value Merchant Day",IF(AND(E346&gt;500,K346="East"),"High-Value East (Excluded)",IF(E346&lt;=500,"Standard","Unknown")))</f>
        <v/>
      </c>
    </row>
    <row r="347">
      <c r="A347" s="2" t="inlineStr">
        <is>
          <t>TXN100345</t>
        </is>
      </c>
      <c r="B347" s="2" t="n">
        <v>158</v>
      </c>
      <c r="C347" s="2" t="n">
        <v>32</v>
      </c>
      <c r="D347" s="2" t="inlineStr">
        <is>
          <t>2026-01-15 15:56:00</t>
        </is>
      </c>
      <c r="E347" s="2" t="n">
        <v>99</v>
      </c>
      <c r="F347" s="2" t="inlineStr">
        <is>
          <t>Wallet</t>
        </is>
      </c>
      <c r="G347" s="2" t="inlineStr">
        <is>
          <t>captured</t>
        </is>
      </c>
      <c r="H347" s="2" t="n">
        <v>2</v>
      </c>
      <c r="I347" s="2">
        <f>IFERROR(VLOOKUP(C347,Merchants!$A$2:$D$41,2,FALSE),"Merchant not found")</f>
        <v/>
      </c>
      <c r="J347" s="2">
        <f>IFERROR(VLOOKUP(C347,Merchants!$A$2:$D$41,3,FALSE),"Merchant not found")</f>
        <v/>
      </c>
      <c r="K347" s="2">
        <f>IFERROR(VLOOKUP(C347,Merchants!$A$2:$D$41,4,FALSE),"Merchant not found")</f>
        <v/>
      </c>
      <c r="L347" s="2">
        <f>IFERROR(HLOOKUP(F347,Fee_Tiers!$B$4:$E$5,2,FALSE),0)</f>
        <v/>
      </c>
      <c r="M347" s="2">
        <f>IF(AND(E347&gt;500,K347&lt;&gt;"East"),"High-Value Merchant Day",IF(AND(E347&gt;500,K347="East"),"High-Value East (Excluded)",IF(E347&lt;=500,"Standard","Unknown")))</f>
        <v/>
      </c>
    </row>
    <row r="348">
      <c r="A348" s="2" t="inlineStr">
        <is>
          <t>TXN100346</t>
        </is>
      </c>
      <c r="B348" s="2" t="n">
        <v>235</v>
      </c>
      <c r="C348" s="2" t="n">
        <v>16</v>
      </c>
      <c r="D348" s="2" t="inlineStr">
        <is>
          <t>2026-01-03 12:32:00</t>
        </is>
      </c>
      <c r="E348" s="2" t="n">
        <v>99</v>
      </c>
      <c r="F348" s="2" t="inlineStr">
        <is>
          <t>UPI</t>
        </is>
      </c>
      <c r="G348" s="2" t="inlineStr">
        <is>
          <t>captured</t>
        </is>
      </c>
      <c r="H348" s="2" t="n">
        <v>27</v>
      </c>
      <c r="I348" s="2">
        <f>IFERROR(VLOOKUP(C348,Merchants!$A$2:$D$41,2,FALSE),"Merchant not found")</f>
        <v/>
      </c>
      <c r="J348" s="2">
        <f>IFERROR(VLOOKUP(C348,Merchants!$A$2:$D$41,3,FALSE),"Merchant not found")</f>
        <v/>
      </c>
      <c r="K348" s="2">
        <f>IFERROR(VLOOKUP(C348,Merchants!$A$2:$D$41,4,FALSE),"Merchant not found")</f>
        <v/>
      </c>
      <c r="L348" s="2">
        <f>IFERROR(HLOOKUP(F348,Fee_Tiers!$B$4:$E$5,2,FALSE),0)</f>
        <v/>
      </c>
      <c r="M348" s="2">
        <f>IF(AND(E348&gt;500,K348&lt;&gt;"East"),"High-Value Merchant Day",IF(AND(E348&gt;500,K348="East"),"High-Value East (Excluded)",IF(E348&lt;=500,"Standard","Unknown")))</f>
        <v/>
      </c>
    </row>
    <row r="349">
      <c r="A349" s="2" t="inlineStr">
        <is>
          <t>TXN100347</t>
        </is>
      </c>
      <c r="B349" s="2" t="n">
        <v>26</v>
      </c>
      <c r="C349" s="2" t="n">
        <v>19</v>
      </c>
      <c r="D349" s="2" t="inlineStr">
        <is>
          <t>2026-01-19 11:03:00</t>
        </is>
      </c>
      <c r="E349" s="2" t="n">
        <v>99</v>
      </c>
      <c r="F349" s="2" t="inlineStr">
        <is>
          <t>Wallet</t>
        </is>
      </c>
      <c r="G349" s="2" t="inlineStr">
        <is>
          <t>captured</t>
        </is>
      </c>
      <c r="H349" s="2" t="n">
        <v>63</v>
      </c>
      <c r="I349" s="2">
        <f>IFERROR(VLOOKUP(C349,Merchants!$A$2:$D$41,2,FALSE),"Merchant not found")</f>
        <v/>
      </c>
      <c r="J349" s="2">
        <f>IFERROR(VLOOKUP(C349,Merchants!$A$2:$D$41,3,FALSE),"Merchant not found")</f>
        <v/>
      </c>
      <c r="K349" s="2">
        <f>IFERROR(VLOOKUP(C349,Merchants!$A$2:$D$41,4,FALSE),"Merchant not found")</f>
        <v/>
      </c>
      <c r="L349" s="2">
        <f>IFERROR(HLOOKUP(F349,Fee_Tiers!$B$4:$E$5,2,FALSE),0)</f>
        <v/>
      </c>
      <c r="M349" s="2">
        <f>IF(AND(E349&gt;500,K349&lt;&gt;"East"),"High-Value Merchant Day",IF(AND(E349&gt;500,K349="East"),"High-Value East (Excluded)",IF(E349&lt;=500,"Standard","Unknown")))</f>
        <v/>
      </c>
    </row>
    <row r="350">
      <c r="A350" s="2" t="inlineStr">
        <is>
          <t>TXN100348</t>
        </is>
      </c>
      <c r="B350" s="2" t="n">
        <v>241</v>
      </c>
      <c r="C350" s="2" t="n">
        <v>19</v>
      </c>
      <c r="D350" s="2" t="inlineStr">
        <is>
          <t>2026-01-20 20:43:00</t>
        </is>
      </c>
      <c r="E350" s="2" t="n">
        <v>299</v>
      </c>
      <c r="F350" s="2" t="inlineStr">
        <is>
          <t>UPI</t>
        </is>
      </c>
      <c r="G350" s="2" t="inlineStr">
        <is>
          <t>captured</t>
        </is>
      </c>
      <c r="H350" s="2" t="n">
        <v>68</v>
      </c>
      <c r="I350" s="2">
        <f>IFERROR(VLOOKUP(C350,Merchants!$A$2:$D$41,2,FALSE),"Merchant not found")</f>
        <v/>
      </c>
      <c r="J350" s="2">
        <f>IFERROR(VLOOKUP(C350,Merchants!$A$2:$D$41,3,FALSE),"Merchant not found")</f>
        <v/>
      </c>
      <c r="K350" s="2">
        <f>IFERROR(VLOOKUP(C350,Merchants!$A$2:$D$41,4,FALSE),"Merchant not found")</f>
        <v/>
      </c>
      <c r="L350" s="2">
        <f>IFERROR(HLOOKUP(F350,Fee_Tiers!$B$4:$E$5,2,FALSE),0)</f>
        <v/>
      </c>
      <c r="M350" s="2">
        <f>IF(AND(E350&gt;500,K350&lt;&gt;"East"),"High-Value Merchant Day",IF(AND(E350&gt;500,K350="East"),"High-Value East (Excluded)",IF(E350&lt;=500,"Standard","Unknown")))</f>
        <v/>
      </c>
    </row>
    <row r="351">
      <c r="A351" s="2" t="inlineStr">
        <is>
          <t>TXN100349</t>
        </is>
      </c>
      <c r="B351" s="2" t="n">
        <v>69</v>
      </c>
      <c r="C351" s="2" t="n">
        <v>17</v>
      </c>
      <c r="D351" s="2" t="inlineStr">
        <is>
          <t>2026-01-01 03:27:00</t>
        </is>
      </c>
      <c r="E351" s="2" t="n">
        <v>1499</v>
      </c>
      <c r="F351" s="2" t="inlineStr">
        <is>
          <t>UPI</t>
        </is>
      </c>
      <c r="G351" s="2" t="inlineStr">
        <is>
          <t>captured</t>
        </is>
      </c>
      <c r="H351" s="2" t="n">
        <v>93</v>
      </c>
      <c r="I351" s="2">
        <f>IFERROR(VLOOKUP(C351,Merchants!$A$2:$D$41,2,FALSE),"Merchant not found")</f>
        <v/>
      </c>
      <c r="J351" s="2">
        <f>IFERROR(VLOOKUP(C351,Merchants!$A$2:$D$41,3,FALSE),"Merchant not found")</f>
        <v/>
      </c>
      <c r="K351" s="2">
        <f>IFERROR(VLOOKUP(C351,Merchants!$A$2:$D$41,4,FALSE),"Merchant not found")</f>
        <v/>
      </c>
      <c r="L351" s="2">
        <f>IFERROR(HLOOKUP(F351,Fee_Tiers!$B$4:$E$5,2,FALSE),0)</f>
        <v/>
      </c>
      <c r="M351" s="2">
        <f>IF(AND(E351&gt;500,K351&lt;&gt;"East"),"High-Value Merchant Day",IF(AND(E351&gt;500,K351="East"),"High-Value East (Excluded)",IF(E351&lt;=500,"Standard","Unknown")))</f>
        <v/>
      </c>
    </row>
    <row r="352">
      <c r="A352" s="2" t="inlineStr">
        <is>
          <t>TXN100350</t>
        </is>
      </c>
      <c r="B352" s="2" t="n">
        <v>24</v>
      </c>
      <c r="C352" s="2" t="n">
        <v>26</v>
      </c>
      <c r="D352" s="2" t="inlineStr">
        <is>
          <t>2026-01-12 12:23:00</t>
        </is>
      </c>
      <c r="E352" s="2" t="n">
        <v>299</v>
      </c>
      <c r="F352" s="2" t="inlineStr">
        <is>
          <t>Netbanking</t>
        </is>
      </c>
      <c r="G352" s="2" t="inlineStr">
        <is>
          <t>captured</t>
        </is>
      </c>
      <c r="H352" s="2" t="n">
        <v>6</v>
      </c>
      <c r="I352" s="2">
        <f>IFERROR(VLOOKUP(C352,Merchants!$A$2:$D$41,2,FALSE),"Merchant not found")</f>
        <v/>
      </c>
      <c r="J352" s="2">
        <f>IFERROR(VLOOKUP(C352,Merchants!$A$2:$D$41,3,FALSE),"Merchant not found")</f>
        <v/>
      </c>
      <c r="K352" s="2">
        <f>IFERROR(VLOOKUP(C352,Merchants!$A$2:$D$41,4,FALSE),"Merchant not found")</f>
        <v/>
      </c>
      <c r="L352" s="2">
        <f>IFERROR(HLOOKUP(F352,Fee_Tiers!$B$4:$E$5,2,FALSE),0)</f>
        <v/>
      </c>
      <c r="M352" s="2">
        <f>IF(AND(E352&gt;500,K352&lt;&gt;"East"),"High-Value Merchant Day",IF(AND(E352&gt;500,K352="East"),"High-Value East (Excluded)",IF(E352&lt;=500,"Standard","Unknown")))</f>
        <v/>
      </c>
    </row>
    <row r="353">
      <c r="A353" s="2" t="inlineStr">
        <is>
          <t>TXN100351</t>
        </is>
      </c>
      <c r="B353" s="2" t="n">
        <v>186</v>
      </c>
      <c r="C353" s="2" t="n">
        <v>36</v>
      </c>
      <c r="D353" s="2" t="inlineStr">
        <is>
          <t>2026-01-19 17:12:00</t>
        </is>
      </c>
      <c r="E353" s="2" t="n">
        <v>4999</v>
      </c>
      <c r="F353" s="2" t="inlineStr">
        <is>
          <t>UPI</t>
        </is>
      </c>
      <c r="G353" s="2" t="inlineStr">
        <is>
          <t>captured</t>
        </is>
      </c>
      <c r="H353" s="2" t="n">
        <v>36</v>
      </c>
      <c r="I353" s="2">
        <f>IFERROR(VLOOKUP(C353,Merchants!$A$2:$D$41,2,FALSE),"Merchant not found")</f>
        <v/>
      </c>
      <c r="J353" s="2">
        <f>IFERROR(VLOOKUP(C353,Merchants!$A$2:$D$41,3,FALSE),"Merchant not found")</f>
        <v/>
      </c>
      <c r="K353" s="2">
        <f>IFERROR(VLOOKUP(C353,Merchants!$A$2:$D$41,4,FALSE),"Merchant not found")</f>
        <v/>
      </c>
      <c r="L353" s="2">
        <f>IFERROR(HLOOKUP(F353,Fee_Tiers!$B$4:$E$5,2,FALSE),0)</f>
        <v/>
      </c>
      <c r="M353" s="2">
        <f>IF(AND(E353&gt;500,K353&lt;&gt;"East"),"High-Value Merchant Day",IF(AND(E353&gt;500,K353="East"),"High-Value East (Excluded)",IF(E353&lt;=500,"Standard","Unknown")))</f>
        <v/>
      </c>
    </row>
    <row r="354">
      <c r="A354" s="2" t="inlineStr">
        <is>
          <t>TXN100352</t>
        </is>
      </c>
      <c r="B354" s="2" t="n">
        <v>231</v>
      </c>
      <c r="C354" s="2" t="n">
        <v>36</v>
      </c>
      <c r="D354" s="2" t="inlineStr">
        <is>
          <t>2026-01-03 12:32:00</t>
        </is>
      </c>
      <c r="E354" s="2" t="n">
        <v>149</v>
      </c>
      <c r="F354" s="2" t="inlineStr">
        <is>
          <t>UPI</t>
        </is>
      </c>
      <c r="G354" s="2" t="inlineStr">
        <is>
          <t>captured</t>
        </is>
      </c>
      <c r="H354" s="2" t="n">
        <v>35</v>
      </c>
      <c r="I354" s="2">
        <f>IFERROR(VLOOKUP(C354,Merchants!$A$2:$D$41,2,FALSE),"Merchant not found")</f>
        <v/>
      </c>
      <c r="J354" s="2">
        <f>IFERROR(VLOOKUP(C354,Merchants!$A$2:$D$41,3,FALSE),"Merchant not found")</f>
        <v/>
      </c>
      <c r="K354" s="2">
        <f>IFERROR(VLOOKUP(C354,Merchants!$A$2:$D$41,4,FALSE),"Merchant not found")</f>
        <v/>
      </c>
      <c r="L354" s="2">
        <f>IFERROR(HLOOKUP(F354,Fee_Tiers!$B$4:$E$5,2,FALSE),0)</f>
        <v/>
      </c>
      <c r="M354" s="2">
        <f>IF(AND(E354&gt;500,K354&lt;&gt;"East"),"High-Value Merchant Day",IF(AND(E354&gt;500,K354="East"),"High-Value East (Excluded)",IF(E354&lt;=500,"Standard","Unknown")))</f>
        <v/>
      </c>
    </row>
    <row r="355">
      <c r="A355" s="2" t="inlineStr">
        <is>
          <t>TXN100353</t>
        </is>
      </c>
      <c r="B355" s="2" t="n">
        <v>313</v>
      </c>
      <c r="C355" s="2" t="n">
        <v>8</v>
      </c>
      <c r="D355" s="2" t="inlineStr">
        <is>
          <t>2026-01-27 19:43:00</t>
        </is>
      </c>
      <c r="E355" s="2" t="n">
        <v>1499</v>
      </c>
      <c r="F355" s="2" t="inlineStr">
        <is>
          <t>Netbanking</t>
        </is>
      </c>
      <c r="G355" s="2" t="inlineStr">
        <is>
          <t>captured</t>
        </is>
      </c>
      <c r="H355" s="2" t="n">
        <v>16</v>
      </c>
      <c r="I355" s="2">
        <f>IFERROR(VLOOKUP(C355,Merchants!$A$2:$D$41,2,FALSE),"Merchant not found")</f>
        <v/>
      </c>
      <c r="J355" s="2">
        <f>IFERROR(VLOOKUP(C355,Merchants!$A$2:$D$41,3,FALSE),"Merchant not found")</f>
        <v/>
      </c>
      <c r="K355" s="2">
        <f>IFERROR(VLOOKUP(C355,Merchants!$A$2:$D$41,4,FALSE),"Merchant not found")</f>
        <v/>
      </c>
      <c r="L355" s="2">
        <f>IFERROR(HLOOKUP(F355,Fee_Tiers!$B$4:$E$5,2,FALSE),0)</f>
        <v/>
      </c>
      <c r="M355" s="2">
        <f>IF(AND(E355&gt;500,K355&lt;&gt;"East"),"High-Value Merchant Day",IF(AND(E355&gt;500,K355="East"),"High-Value East (Excluded)",IF(E355&lt;=500,"Standard","Unknown")))</f>
        <v/>
      </c>
    </row>
    <row r="356">
      <c r="A356" s="2" t="inlineStr">
        <is>
          <t>TXN100354</t>
        </is>
      </c>
      <c r="B356" s="2" t="n">
        <v>174</v>
      </c>
      <c r="C356" s="2" t="n">
        <v>36</v>
      </c>
      <c r="D356" s="2" t="inlineStr">
        <is>
          <t>2026-01-04 12:23:00</t>
        </is>
      </c>
      <c r="E356" s="2" t="n">
        <v>149</v>
      </c>
      <c r="F356" s="2" t="inlineStr">
        <is>
          <t>UPI</t>
        </is>
      </c>
      <c r="G356" s="2" t="inlineStr">
        <is>
          <t>captured</t>
        </is>
      </c>
      <c r="H356" s="2" t="n">
        <v>46</v>
      </c>
      <c r="I356" s="2">
        <f>IFERROR(VLOOKUP(C356,Merchants!$A$2:$D$41,2,FALSE),"Merchant not found")</f>
        <v/>
      </c>
      <c r="J356" s="2">
        <f>IFERROR(VLOOKUP(C356,Merchants!$A$2:$D$41,3,FALSE),"Merchant not found")</f>
        <v/>
      </c>
      <c r="K356" s="2">
        <f>IFERROR(VLOOKUP(C356,Merchants!$A$2:$D$41,4,FALSE),"Merchant not found")</f>
        <v/>
      </c>
      <c r="L356" s="2">
        <f>IFERROR(HLOOKUP(F356,Fee_Tiers!$B$4:$E$5,2,FALSE),0)</f>
        <v/>
      </c>
      <c r="M356" s="2">
        <f>IF(AND(E356&gt;500,K356&lt;&gt;"East"),"High-Value Merchant Day",IF(AND(E356&gt;500,K356="East"),"High-Value East (Excluded)",IF(E356&lt;=500,"Standard","Unknown")))</f>
        <v/>
      </c>
    </row>
    <row r="357">
      <c r="A357" s="2" t="inlineStr">
        <is>
          <t>TXN100355</t>
        </is>
      </c>
      <c r="B357" s="2" t="n">
        <v>309</v>
      </c>
      <c r="C357" s="2" t="n">
        <v>33</v>
      </c>
      <c r="D357" s="2" t="inlineStr">
        <is>
          <t>2026-01-25 04:12:00</t>
        </is>
      </c>
      <c r="E357" s="2" t="n">
        <v>99</v>
      </c>
      <c r="F357" s="2" t="inlineStr">
        <is>
          <t>UPI</t>
        </is>
      </c>
      <c r="G357" s="2" t="inlineStr">
        <is>
          <t>captured</t>
        </is>
      </c>
      <c r="H357" s="2" t="n">
        <v>51</v>
      </c>
      <c r="I357" s="2">
        <f>IFERROR(VLOOKUP(C357,Merchants!$A$2:$D$41,2,FALSE),"Merchant not found")</f>
        <v/>
      </c>
      <c r="J357" s="2">
        <f>IFERROR(VLOOKUP(C357,Merchants!$A$2:$D$41,3,FALSE),"Merchant not found")</f>
        <v/>
      </c>
      <c r="K357" s="2">
        <f>IFERROR(VLOOKUP(C357,Merchants!$A$2:$D$41,4,FALSE),"Merchant not found")</f>
        <v/>
      </c>
      <c r="L357" s="2">
        <f>IFERROR(HLOOKUP(F357,Fee_Tiers!$B$4:$E$5,2,FALSE),0)</f>
        <v/>
      </c>
      <c r="M357" s="2">
        <f>IF(AND(E357&gt;500,K357&lt;&gt;"East"),"High-Value Merchant Day",IF(AND(E357&gt;500,K357="East"),"High-Value East (Excluded)",IF(E357&lt;=500,"Standard","Unknown")))</f>
        <v/>
      </c>
    </row>
    <row r="358">
      <c r="A358" s="2" t="inlineStr">
        <is>
          <t>TXN100356</t>
        </is>
      </c>
      <c r="B358" s="2" t="n">
        <v>20</v>
      </c>
      <c r="C358" s="2" t="n">
        <v>9</v>
      </c>
      <c r="D358" s="2" t="inlineStr">
        <is>
          <t>2026-01-17 01:02:00</t>
        </is>
      </c>
      <c r="E358" s="2" t="n">
        <v>99</v>
      </c>
      <c r="F358" s="2" t="inlineStr">
        <is>
          <t>UPI</t>
        </is>
      </c>
      <c r="G358" s="2" t="inlineStr">
        <is>
          <t>captured</t>
        </is>
      </c>
      <c r="H358" s="2" t="n">
        <v>91</v>
      </c>
      <c r="I358" s="2">
        <f>IFERROR(VLOOKUP(C358,Merchants!$A$2:$D$41,2,FALSE),"Merchant not found")</f>
        <v/>
      </c>
      <c r="J358" s="2">
        <f>IFERROR(VLOOKUP(C358,Merchants!$A$2:$D$41,3,FALSE),"Merchant not found")</f>
        <v/>
      </c>
      <c r="K358" s="2">
        <f>IFERROR(VLOOKUP(C358,Merchants!$A$2:$D$41,4,FALSE),"Merchant not found")</f>
        <v/>
      </c>
      <c r="L358" s="2">
        <f>IFERROR(HLOOKUP(F358,Fee_Tiers!$B$4:$E$5,2,FALSE),0)</f>
        <v/>
      </c>
      <c r="M358" s="2">
        <f>IF(AND(E358&gt;500,K358&lt;&gt;"East"),"High-Value Merchant Day",IF(AND(E358&gt;500,K358="East"),"High-Value East (Excluded)",IF(E358&lt;=500,"Standard","Unknown")))</f>
        <v/>
      </c>
    </row>
    <row r="359">
      <c r="A359" s="2" t="inlineStr">
        <is>
          <t>TXN100357</t>
        </is>
      </c>
      <c r="B359" s="2" t="n">
        <v>234</v>
      </c>
      <c r="C359" s="2" t="n">
        <v>10</v>
      </c>
      <c r="D359" s="2" t="inlineStr">
        <is>
          <t>2026-01-11 15:33:00</t>
        </is>
      </c>
      <c r="E359" s="2" t="n">
        <v>49</v>
      </c>
      <c r="F359" s="2" t="inlineStr">
        <is>
          <t>UPI</t>
        </is>
      </c>
      <c r="G359" s="2" t="inlineStr">
        <is>
          <t>captured</t>
        </is>
      </c>
      <c r="H359" s="2" t="n">
        <v>77</v>
      </c>
      <c r="I359" s="2">
        <f>IFERROR(VLOOKUP(C359,Merchants!$A$2:$D$41,2,FALSE),"Merchant not found")</f>
        <v/>
      </c>
      <c r="J359" s="2">
        <f>IFERROR(VLOOKUP(C359,Merchants!$A$2:$D$41,3,FALSE),"Merchant not found")</f>
        <v/>
      </c>
      <c r="K359" s="2">
        <f>IFERROR(VLOOKUP(C359,Merchants!$A$2:$D$41,4,FALSE),"Merchant not found")</f>
        <v/>
      </c>
      <c r="L359" s="2">
        <f>IFERROR(HLOOKUP(F359,Fee_Tiers!$B$4:$E$5,2,FALSE),0)</f>
        <v/>
      </c>
      <c r="M359" s="2">
        <f>IF(AND(E359&gt;500,K359&lt;&gt;"East"),"High-Value Merchant Day",IF(AND(E359&gt;500,K359="East"),"High-Value East (Excluded)",IF(E359&lt;=500,"Standard","Unknown")))</f>
        <v/>
      </c>
    </row>
    <row r="360">
      <c r="A360" s="2" t="inlineStr">
        <is>
          <t>TXN100358</t>
        </is>
      </c>
      <c r="B360" s="2" t="n">
        <v>168</v>
      </c>
      <c r="C360" s="2" t="n">
        <v>40</v>
      </c>
      <c r="D360" s="2" t="inlineStr">
        <is>
          <t>2026-01-29 16:08:00</t>
        </is>
      </c>
      <c r="E360" s="2" t="n">
        <v>149</v>
      </c>
      <c r="F360" s="2" t="inlineStr">
        <is>
          <t>UPI</t>
        </is>
      </c>
      <c r="G360" s="2" t="inlineStr">
        <is>
          <t>chargeback</t>
        </is>
      </c>
      <c r="H360" s="2" t="n">
        <v>40</v>
      </c>
      <c r="I360" s="2">
        <f>IFERROR(VLOOKUP(C360,Merchants!$A$2:$D$41,2,FALSE),"Merchant not found")</f>
        <v/>
      </c>
      <c r="J360" s="2">
        <f>IFERROR(VLOOKUP(C360,Merchants!$A$2:$D$41,3,FALSE),"Merchant not found")</f>
        <v/>
      </c>
      <c r="K360" s="2">
        <f>IFERROR(VLOOKUP(C360,Merchants!$A$2:$D$41,4,FALSE),"Merchant not found")</f>
        <v/>
      </c>
      <c r="L360" s="2">
        <f>IFERROR(HLOOKUP(F360,Fee_Tiers!$B$4:$E$5,2,FALSE),0)</f>
        <v/>
      </c>
      <c r="M360" s="2">
        <f>IF(AND(E360&gt;500,K360&lt;&gt;"East"),"High-Value Merchant Day",IF(AND(E360&gt;500,K360="East"),"High-Value East (Excluded)",IF(E360&lt;=500,"Standard","Unknown")))</f>
        <v/>
      </c>
    </row>
    <row r="361">
      <c r="A361" s="2" t="inlineStr">
        <is>
          <t>TXN100359</t>
        </is>
      </c>
      <c r="B361" s="2" t="n">
        <v>154</v>
      </c>
      <c r="C361" s="2" t="n">
        <v>38</v>
      </c>
      <c r="D361" s="2" t="inlineStr">
        <is>
          <t>2026-01-06 12:39:00</t>
        </is>
      </c>
      <c r="E361" s="2" t="n">
        <v>99</v>
      </c>
      <c r="F361" s="2" t="inlineStr">
        <is>
          <t>Netbanking</t>
        </is>
      </c>
      <c r="G361" s="2" t="inlineStr">
        <is>
          <t>captured</t>
        </is>
      </c>
      <c r="H361" s="2" t="n">
        <v>43</v>
      </c>
      <c r="I361" s="2">
        <f>IFERROR(VLOOKUP(C361,Merchants!$A$2:$D$41,2,FALSE),"Merchant not found")</f>
        <v/>
      </c>
      <c r="J361" s="2">
        <f>IFERROR(VLOOKUP(C361,Merchants!$A$2:$D$41,3,FALSE),"Merchant not found")</f>
        <v/>
      </c>
      <c r="K361" s="2">
        <f>IFERROR(VLOOKUP(C361,Merchants!$A$2:$D$41,4,FALSE),"Merchant not found")</f>
        <v/>
      </c>
      <c r="L361" s="2">
        <f>IFERROR(HLOOKUP(F361,Fee_Tiers!$B$4:$E$5,2,FALSE),0)</f>
        <v/>
      </c>
      <c r="M361" s="2">
        <f>IF(AND(E361&gt;500,K361&lt;&gt;"East"),"High-Value Merchant Day",IF(AND(E361&gt;500,K361="East"),"High-Value East (Excluded)",IF(E361&lt;=500,"Standard","Unknown")))</f>
        <v/>
      </c>
    </row>
    <row r="362">
      <c r="A362" s="2" t="inlineStr">
        <is>
          <t>TXN100360</t>
        </is>
      </c>
      <c r="B362" s="2" t="n">
        <v>251</v>
      </c>
      <c r="C362" s="2" t="n">
        <v>37</v>
      </c>
      <c r="D362" s="2" t="inlineStr">
        <is>
          <t>2026-01-17 16:34:00</t>
        </is>
      </c>
      <c r="E362" s="2" t="n">
        <v>49</v>
      </c>
      <c r="F362" s="2" t="inlineStr">
        <is>
          <t>UPI</t>
        </is>
      </c>
      <c r="G362" s="2" t="inlineStr">
        <is>
          <t>captured</t>
        </is>
      </c>
      <c r="H362" s="2" t="n">
        <v>38</v>
      </c>
      <c r="I362" s="2">
        <f>IFERROR(VLOOKUP(C362,Merchants!$A$2:$D$41,2,FALSE),"Merchant not found")</f>
        <v/>
      </c>
      <c r="J362" s="2">
        <f>IFERROR(VLOOKUP(C362,Merchants!$A$2:$D$41,3,FALSE),"Merchant not found")</f>
        <v/>
      </c>
      <c r="K362" s="2">
        <f>IFERROR(VLOOKUP(C362,Merchants!$A$2:$D$41,4,FALSE),"Merchant not found")</f>
        <v/>
      </c>
      <c r="L362" s="2">
        <f>IFERROR(HLOOKUP(F362,Fee_Tiers!$B$4:$E$5,2,FALSE),0)</f>
        <v/>
      </c>
      <c r="M362" s="2">
        <f>IF(AND(E362&gt;500,K362&lt;&gt;"East"),"High-Value Merchant Day",IF(AND(E362&gt;500,K362="East"),"High-Value East (Excluded)",IF(E362&lt;=500,"Standard","Unknown")))</f>
        <v/>
      </c>
    </row>
    <row r="363">
      <c r="A363" s="2" t="inlineStr">
        <is>
          <t>TXN100361</t>
        </is>
      </c>
      <c r="B363" s="2" t="n">
        <v>170</v>
      </c>
      <c r="C363" s="2" t="n">
        <v>8</v>
      </c>
      <c r="D363" s="2" t="inlineStr">
        <is>
          <t>2026-01-16 00:23:00</t>
        </is>
      </c>
      <c r="E363" s="2" t="n">
        <v>2999</v>
      </c>
      <c r="F363" s="2" t="inlineStr">
        <is>
          <t>UPI</t>
        </is>
      </c>
      <c r="G363" s="2" t="inlineStr">
        <is>
          <t>captured</t>
        </is>
      </c>
      <c r="H363" s="2" t="n">
        <v>53</v>
      </c>
      <c r="I363" s="2">
        <f>IFERROR(VLOOKUP(C363,Merchants!$A$2:$D$41,2,FALSE),"Merchant not found")</f>
        <v/>
      </c>
      <c r="J363" s="2">
        <f>IFERROR(VLOOKUP(C363,Merchants!$A$2:$D$41,3,FALSE),"Merchant not found")</f>
        <v/>
      </c>
      <c r="K363" s="2">
        <f>IFERROR(VLOOKUP(C363,Merchants!$A$2:$D$41,4,FALSE),"Merchant not found")</f>
        <v/>
      </c>
      <c r="L363" s="2">
        <f>IFERROR(HLOOKUP(F363,Fee_Tiers!$B$4:$E$5,2,FALSE),0)</f>
        <v/>
      </c>
      <c r="M363" s="2">
        <f>IF(AND(E363&gt;500,K363&lt;&gt;"East"),"High-Value Merchant Day",IF(AND(E363&gt;500,K363="East"),"High-Value East (Excluded)",IF(E363&lt;=500,"Standard","Unknown")))</f>
        <v/>
      </c>
    </row>
    <row r="364">
      <c r="A364" s="2" t="inlineStr">
        <is>
          <t>TXN100362</t>
        </is>
      </c>
      <c r="B364" s="2" t="n">
        <v>323</v>
      </c>
      <c r="C364" s="2" t="n">
        <v>2</v>
      </c>
      <c r="D364" s="2" t="inlineStr">
        <is>
          <t>2026-01-19 09:50:00</t>
        </is>
      </c>
      <c r="E364" s="2" t="n">
        <v>49</v>
      </c>
      <c r="F364" s="2" t="inlineStr">
        <is>
          <t>Netbanking</t>
        </is>
      </c>
      <c r="G364" s="2" t="inlineStr">
        <is>
          <t>captured</t>
        </is>
      </c>
      <c r="H364" s="2" t="n">
        <v>76</v>
      </c>
      <c r="I364" s="2">
        <f>IFERROR(VLOOKUP(C364,Merchants!$A$2:$D$41,2,FALSE),"Merchant not found")</f>
        <v/>
      </c>
      <c r="J364" s="2">
        <f>IFERROR(VLOOKUP(C364,Merchants!$A$2:$D$41,3,FALSE),"Merchant not found")</f>
        <v/>
      </c>
      <c r="K364" s="2">
        <f>IFERROR(VLOOKUP(C364,Merchants!$A$2:$D$41,4,FALSE),"Merchant not found")</f>
        <v/>
      </c>
      <c r="L364" s="2">
        <f>IFERROR(HLOOKUP(F364,Fee_Tiers!$B$4:$E$5,2,FALSE),0)</f>
        <v/>
      </c>
      <c r="M364" s="2">
        <f>IF(AND(E364&gt;500,K364&lt;&gt;"East"),"High-Value Merchant Day",IF(AND(E364&gt;500,K364="East"),"High-Value East (Excluded)",IF(E364&lt;=500,"Standard","Unknown")))</f>
        <v/>
      </c>
    </row>
    <row r="365">
      <c r="A365" s="2" t="inlineStr">
        <is>
          <t>TXN100363</t>
        </is>
      </c>
      <c r="B365" s="2" t="n">
        <v>297</v>
      </c>
      <c r="C365" s="2" t="n">
        <v>37</v>
      </c>
      <c r="D365" s="2" t="inlineStr">
        <is>
          <t>2026-01-16 08:41:00</t>
        </is>
      </c>
      <c r="E365" s="2" t="n">
        <v>2999</v>
      </c>
      <c r="F365" s="2" t="inlineStr">
        <is>
          <t>Wallet</t>
        </is>
      </c>
      <c r="G365" s="2" t="inlineStr">
        <is>
          <t>captured</t>
        </is>
      </c>
      <c r="H365" s="2" t="n">
        <v>29</v>
      </c>
      <c r="I365" s="2">
        <f>IFERROR(VLOOKUP(C365,Merchants!$A$2:$D$41,2,FALSE),"Merchant not found")</f>
        <v/>
      </c>
      <c r="J365" s="2">
        <f>IFERROR(VLOOKUP(C365,Merchants!$A$2:$D$41,3,FALSE),"Merchant not found")</f>
        <v/>
      </c>
      <c r="K365" s="2">
        <f>IFERROR(VLOOKUP(C365,Merchants!$A$2:$D$41,4,FALSE),"Merchant not found")</f>
        <v/>
      </c>
      <c r="L365" s="2">
        <f>IFERROR(HLOOKUP(F365,Fee_Tiers!$B$4:$E$5,2,FALSE),0)</f>
        <v/>
      </c>
      <c r="M365" s="2">
        <f>IF(AND(E365&gt;500,K365&lt;&gt;"East"),"High-Value Merchant Day",IF(AND(E365&gt;500,K365="East"),"High-Value East (Excluded)",IF(E365&lt;=500,"Standard","Unknown")))</f>
        <v/>
      </c>
    </row>
    <row r="366">
      <c r="A366" s="2" t="inlineStr">
        <is>
          <t>TXN100364</t>
        </is>
      </c>
      <c r="B366" s="2" t="n">
        <v>246</v>
      </c>
      <c r="C366" s="2" t="n">
        <v>11</v>
      </c>
      <c r="D366" s="2" t="inlineStr">
        <is>
          <t>2026-01-24 01:37:00</t>
        </is>
      </c>
      <c r="E366" s="2" t="n">
        <v>299</v>
      </c>
      <c r="F366" s="2" t="inlineStr">
        <is>
          <t>UPI</t>
        </is>
      </c>
      <c r="G366" s="2" t="inlineStr">
        <is>
          <t>captured</t>
        </is>
      </c>
      <c r="H366" s="2" t="n">
        <v>67</v>
      </c>
      <c r="I366" s="2">
        <f>IFERROR(VLOOKUP(C366,Merchants!$A$2:$D$41,2,FALSE),"Merchant not found")</f>
        <v/>
      </c>
      <c r="J366" s="2">
        <f>IFERROR(VLOOKUP(C366,Merchants!$A$2:$D$41,3,FALSE),"Merchant not found")</f>
        <v/>
      </c>
      <c r="K366" s="2">
        <f>IFERROR(VLOOKUP(C366,Merchants!$A$2:$D$41,4,FALSE),"Merchant not found")</f>
        <v/>
      </c>
      <c r="L366" s="2">
        <f>IFERROR(HLOOKUP(F366,Fee_Tiers!$B$4:$E$5,2,FALSE),0)</f>
        <v/>
      </c>
      <c r="M366" s="2">
        <f>IF(AND(E366&gt;500,K366&lt;&gt;"East"),"High-Value Merchant Day",IF(AND(E366&gt;500,K366="East"),"High-Value East (Excluded)",IF(E366&lt;=500,"Standard","Unknown")))</f>
        <v/>
      </c>
    </row>
    <row r="367">
      <c r="A367" s="2" t="inlineStr">
        <is>
          <t>TXN100365</t>
        </is>
      </c>
      <c r="B367" s="2" t="n">
        <v>195</v>
      </c>
      <c r="C367" s="2" t="n">
        <v>10</v>
      </c>
      <c r="D367" s="2" t="inlineStr">
        <is>
          <t>2026-01-21 23:39:00</t>
        </is>
      </c>
      <c r="E367" s="2" t="n">
        <v>99</v>
      </c>
      <c r="F367" s="2" t="inlineStr">
        <is>
          <t>UPI</t>
        </is>
      </c>
      <c r="G367" s="2" t="inlineStr">
        <is>
          <t>captured</t>
        </is>
      </c>
      <c r="H367" s="2" t="n">
        <v>87</v>
      </c>
      <c r="I367" s="2">
        <f>IFERROR(VLOOKUP(C367,Merchants!$A$2:$D$41,2,FALSE),"Merchant not found")</f>
        <v/>
      </c>
      <c r="J367" s="2">
        <f>IFERROR(VLOOKUP(C367,Merchants!$A$2:$D$41,3,FALSE),"Merchant not found")</f>
        <v/>
      </c>
      <c r="K367" s="2">
        <f>IFERROR(VLOOKUP(C367,Merchants!$A$2:$D$41,4,FALSE),"Merchant not found")</f>
        <v/>
      </c>
      <c r="L367" s="2">
        <f>IFERROR(HLOOKUP(F367,Fee_Tiers!$B$4:$E$5,2,FALSE),0)</f>
        <v/>
      </c>
      <c r="M367" s="2">
        <f>IF(AND(E367&gt;500,K367&lt;&gt;"East"),"High-Value Merchant Day",IF(AND(E367&gt;500,K367="East"),"High-Value East (Excluded)",IF(E367&lt;=500,"Standard","Unknown")))</f>
        <v/>
      </c>
    </row>
    <row r="368">
      <c r="A368" s="2" t="inlineStr">
        <is>
          <t>TXN100366</t>
        </is>
      </c>
      <c r="B368" s="2" t="n">
        <v>57</v>
      </c>
      <c r="C368" s="2" t="n">
        <v>13</v>
      </c>
      <c r="D368" s="2" t="inlineStr">
        <is>
          <t>2026-01-08 01:36:00</t>
        </is>
      </c>
      <c r="E368" s="2" t="n">
        <v>149</v>
      </c>
      <c r="F368" s="2" t="inlineStr">
        <is>
          <t>UPI</t>
        </is>
      </c>
      <c r="G368" s="2" t="inlineStr">
        <is>
          <t>captured</t>
        </is>
      </c>
      <c r="H368" s="2" t="n">
        <v>2</v>
      </c>
      <c r="I368" s="2">
        <f>IFERROR(VLOOKUP(C368,Merchants!$A$2:$D$41,2,FALSE),"Merchant not found")</f>
        <v/>
      </c>
      <c r="J368" s="2">
        <f>IFERROR(VLOOKUP(C368,Merchants!$A$2:$D$41,3,FALSE),"Merchant not found")</f>
        <v/>
      </c>
      <c r="K368" s="2">
        <f>IFERROR(VLOOKUP(C368,Merchants!$A$2:$D$41,4,FALSE),"Merchant not found")</f>
        <v/>
      </c>
      <c r="L368" s="2">
        <f>IFERROR(HLOOKUP(F368,Fee_Tiers!$B$4:$E$5,2,FALSE),0)</f>
        <v/>
      </c>
      <c r="M368" s="2">
        <f>IF(AND(E368&gt;500,K368&lt;&gt;"East"),"High-Value Merchant Day",IF(AND(E368&gt;500,K368="East"),"High-Value East (Excluded)",IF(E368&lt;=500,"Standard","Unknown")))</f>
        <v/>
      </c>
    </row>
    <row r="369">
      <c r="A369" s="2" t="inlineStr">
        <is>
          <t>TXN100367</t>
        </is>
      </c>
      <c r="B369" s="2" t="n">
        <v>78</v>
      </c>
      <c r="C369" s="2" t="n">
        <v>27</v>
      </c>
      <c r="D369" s="2" t="inlineStr">
        <is>
          <t>2026-01-15 10:26:00</t>
        </is>
      </c>
      <c r="E369" s="2" t="n">
        <v>1499</v>
      </c>
      <c r="F369" s="2" t="inlineStr">
        <is>
          <t>Netbanking</t>
        </is>
      </c>
      <c r="G369" s="2" t="inlineStr">
        <is>
          <t>failed</t>
        </is>
      </c>
      <c r="H369" s="2" t="n">
        <v>88</v>
      </c>
      <c r="I369" s="2">
        <f>IFERROR(VLOOKUP(C369,Merchants!$A$2:$D$41,2,FALSE),"Merchant not found")</f>
        <v/>
      </c>
      <c r="J369" s="2">
        <f>IFERROR(VLOOKUP(C369,Merchants!$A$2:$D$41,3,FALSE),"Merchant not found")</f>
        <v/>
      </c>
      <c r="K369" s="2">
        <f>IFERROR(VLOOKUP(C369,Merchants!$A$2:$D$41,4,FALSE),"Merchant not found")</f>
        <v/>
      </c>
      <c r="L369" s="2">
        <f>IFERROR(HLOOKUP(F369,Fee_Tiers!$B$4:$E$5,2,FALSE),0)</f>
        <v/>
      </c>
      <c r="M369" s="2">
        <f>IF(AND(E369&gt;500,K369&lt;&gt;"East"),"High-Value Merchant Day",IF(AND(E369&gt;500,K369="East"),"High-Value East (Excluded)",IF(E369&lt;=500,"Standard","Unknown")))</f>
        <v/>
      </c>
    </row>
    <row r="370">
      <c r="A370" s="2" t="inlineStr">
        <is>
          <t>TXN100368</t>
        </is>
      </c>
      <c r="B370" s="2" t="n">
        <v>314</v>
      </c>
      <c r="C370" s="2" t="n">
        <v>31</v>
      </c>
      <c r="D370" s="2" t="inlineStr">
        <is>
          <t>2026-01-07 13:32:00</t>
        </is>
      </c>
      <c r="E370" s="2" t="n">
        <v>49</v>
      </c>
      <c r="F370" s="2" t="inlineStr">
        <is>
          <t>UPI</t>
        </is>
      </c>
      <c r="G370" s="2" t="inlineStr">
        <is>
          <t>chargeback</t>
        </is>
      </c>
      <c r="H370" s="2" t="n">
        <v>94</v>
      </c>
      <c r="I370" s="2">
        <f>IFERROR(VLOOKUP(C370,Merchants!$A$2:$D$41,2,FALSE),"Merchant not found")</f>
        <v/>
      </c>
      <c r="J370" s="2">
        <f>IFERROR(VLOOKUP(C370,Merchants!$A$2:$D$41,3,FALSE),"Merchant not found")</f>
        <v/>
      </c>
      <c r="K370" s="2">
        <f>IFERROR(VLOOKUP(C370,Merchants!$A$2:$D$41,4,FALSE),"Merchant not found")</f>
        <v/>
      </c>
      <c r="L370" s="2">
        <f>IFERROR(HLOOKUP(F370,Fee_Tiers!$B$4:$E$5,2,FALSE),0)</f>
        <v/>
      </c>
      <c r="M370" s="2">
        <f>IF(AND(E370&gt;500,K370&lt;&gt;"East"),"High-Value Merchant Day",IF(AND(E370&gt;500,K370="East"),"High-Value East (Excluded)",IF(E370&lt;=500,"Standard","Unknown")))</f>
        <v/>
      </c>
    </row>
    <row r="371">
      <c r="A371" s="2" t="inlineStr">
        <is>
          <t>TXN100369</t>
        </is>
      </c>
      <c r="B371" s="2" t="n">
        <v>71</v>
      </c>
      <c r="C371" s="2" t="n">
        <v>34</v>
      </c>
      <c r="D371" s="2" t="inlineStr">
        <is>
          <t>2026-01-24 01:45:00</t>
        </is>
      </c>
      <c r="E371" s="2" t="n">
        <v>499</v>
      </c>
      <c r="F371" s="2" t="inlineStr">
        <is>
          <t>UPI</t>
        </is>
      </c>
      <c r="G371" s="2" t="inlineStr">
        <is>
          <t>captured</t>
        </is>
      </c>
      <c r="H371" s="2" t="n">
        <v>26</v>
      </c>
      <c r="I371" s="2">
        <f>IFERROR(VLOOKUP(C371,Merchants!$A$2:$D$41,2,FALSE),"Merchant not found")</f>
        <v/>
      </c>
      <c r="J371" s="2">
        <f>IFERROR(VLOOKUP(C371,Merchants!$A$2:$D$41,3,FALSE),"Merchant not found")</f>
        <v/>
      </c>
      <c r="K371" s="2">
        <f>IFERROR(VLOOKUP(C371,Merchants!$A$2:$D$41,4,FALSE),"Merchant not found")</f>
        <v/>
      </c>
      <c r="L371" s="2">
        <f>IFERROR(HLOOKUP(F371,Fee_Tiers!$B$4:$E$5,2,FALSE),0)</f>
        <v/>
      </c>
      <c r="M371" s="2">
        <f>IF(AND(E371&gt;500,K371&lt;&gt;"East"),"High-Value Merchant Day",IF(AND(E371&gt;500,K371="East"),"High-Value East (Excluded)",IF(E371&lt;=500,"Standard","Unknown")))</f>
        <v/>
      </c>
    </row>
    <row r="372">
      <c r="A372" s="2" t="inlineStr">
        <is>
          <t>TXN100370</t>
        </is>
      </c>
      <c r="B372" s="2" t="n">
        <v>245</v>
      </c>
      <c r="C372" s="2" t="n">
        <v>34</v>
      </c>
      <c r="D372" s="2" t="inlineStr">
        <is>
          <t>2026-01-18 10:42:00</t>
        </is>
      </c>
      <c r="E372" s="2" t="n">
        <v>99</v>
      </c>
      <c r="F372" s="2" t="inlineStr">
        <is>
          <t>UPI</t>
        </is>
      </c>
      <c r="G372" s="2" t="inlineStr">
        <is>
          <t>captured</t>
        </is>
      </c>
      <c r="H372" s="2" t="n">
        <v>48</v>
      </c>
      <c r="I372" s="2">
        <f>IFERROR(VLOOKUP(C372,Merchants!$A$2:$D$41,2,FALSE),"Merchant not found")</f>
        <v/>
      </c>
      <c r="J372" s="2">
        <f>IFERROR(VLOOKUP(C372,Merchants!$A$2:$D$41,3,FALSE),"Merchant not found")</f>
        <v/>
      </c>
      <c r="K372" s="2">
        <f>IFERROR(VLOOKUP(C372,Merchants!$A$2:$D$41,4,FALSE),"Merchant not found")</f>
        <v/>
      </c>
      <c r="L372" s="2">
        <f>IFERROR(HLOOKUP(F372,Fee_Tiers!$B$4:$E$5,2,FALSE),0)</f>
        <v/>
      </c>
      <c r="M372" s="2">
        <f>IF(AND(E372&gt;500,K372&lt;&gt;"East"),"High-Value Merchant Day",IF(AND(E372&gt;500,K372="East"),"High-Value East (Excluded)",IF(E372&lt;=500,"Standard","Unknown")))</f>
        <v/>
      </c>
    </row>
    <row r="373">
      <c r="A373" s="2" t="inlineStr">
        <is>
          <t>TXN100371</t>
        </is>
      </c>
      <c r="B373" s="2" t="n">
        <v>273</v>
      </c>
      <c r="C373" s="2" t="n">
        <v>22</v>
      </c>
      <c r="D373" s="2" t="inlineStr">
        <is>
          <t>2026-01-11 05:29:00</t>
        </is>
      </c>
      <c r="E373" s="2" t="n">
        <v>299</v>
      </c>
      <c r="F373" s="2" t="inlineStr">
        <is>
          <t>Wallet</t>
        </is>
      </c>
      <c r="G373" s="2" t="inlineStr">
        <is>
          <t>captured</t>
        </is>
      </c>
      <c r="H373" s="2" t="n">
        <v>69</v>
      </c>
      <c r="I373" s="2">
        <f>IFERROR(VLOOKUP(C373,Merchants!$A$2:$D$41,2,FALSE),"Merchant not found")</f>
        <v/>
      </c>
      <c r="J373" s="2">
        <f>IFERROR(VLOOKUP(C373,Merchants!$A$2:$D$41,3,FALSE),"Merchant not found")</f>
        <v/>
      </c>
      <c r="K373" s="2">
        <f>IFERROR(VLOOKUP(C373,Merchants!$A$2:$D$41,4,FALSE),"Merchant not found")</f>
        <v/>
      </c>
      <c r="L373" s="2">
        <f>IFERROR(HLOOKUP(F373,Fee_Tiers!$B$4:$E$5,2,FALSE),0)</f>
        <v/>
      </c>
      <c r="M373" s="2">
        <f>IF(AND(E373&gt;500,K373&lt;&gt;"East"),"High-Value Merchant Day",IF(AND(E373&gt;500,K373="East"),"High-Value East (Excluded)",IF(E373&lt;=500,"Standard","Unknown")))</f>
        <v/>
      </c>
    </row>
    <row r="374">
      <c r="A374" s="2" t="inlineStr">
        <is>
          <t>TXN100372</t>
        </is>
      </c>
      <c r="B374" s="2" t="n">
        <v>349</v>
      </c>
      <c r="C374" s="2" t="n">
        <v>17</v>
      </c>
      <c r="D374" s="2" t="inlineStr">
        <is>
          <t>2026-01-12 21:49:00</t>
        </is>
      </c>
      <c r="E374" s="2" t="n">
        <v>1499</v>
      </c>
      <c r="F374" s="2" t="inlineStr">
        <is>
          <t>UPI</t>
        </is>
      </c>
      <c r="G374" s="2" t="inlineStr">
        <is>
          <t>captured</t>
        </is>
      </c>
      <c r="H374" s="2" t="n">
        <v>78</v>
      </c>
      <c r="I374" s="2">
        <f>IFERROR(VLOOKUP(C374,Merchants!$A$2:$D$41,2,FALSE),"Merchant not found")</f>
        <v/>
      </c>
      <c r="J374" s="2">
        <f>IFERROR(VLOOKUP(C374,Merchants!$A$2:$D$41,3,FALSE),"Merchant not found")</f>
        <v/>
      </c>
      <c r="K374" s="2">
        <f>IFERROR(VLOOKUP(C374,Merchants!$A$2:$D$41,4,FALSE),"Merchant not found")</f>
        <v/>
      </c>
      <c r="L374" s="2">
        <f>IFERROR(HLOOKUP(F374,Fee_Tiers!$B$4:$E$5,2,FALSE),0)</f>
        <v/>
      </c>
      <c r="M374" s="2">
        <f>IF(AND(E374&gt;500,K374&lt;&gt;"East"),"High-Value Merchant Day",IF(AND(E374&gt;500,K374="East"),"High-Value East (Excluded)",IF(E374&lt;=500,"Standard","Unknown")))</f>
        <v/>
      </c>
    </row>
    <row r="375">
      <c r="A375" s="2" t="inlineStr">
        <is>
          <t>TXN100373</t>
        </is>
      </c>
      <c r="B375" s="2" t="n">
        <v>143</v>
      </c>
      <c r="C375" s="2" t="n">
        <v>36</v>
      </c>
      <c r="D375" s="2" t="inlineStr">
        <is>
          <t>2026-01-16 06:15:00</t>
        </is>
      </c>
      <c r="E375" s="2" t="n">
        <v>1499</v>
      </c>
      <c r="F375" s="2" t="inlineStr">
        <is>
          <t>Netbanking</t>
        </is>
      </c>
      <c r="G375" s="2" t="inlineStr">
        <is>
          <t>captured</t>
        </is>
      </c>
      <c r="H375" s="2" t="n">
        <v>38</v>
      </c>
      <c r="I375" s="2">
        <f>IFERROR(VLOOKUP(C375,Merchants!$A$2:$D$41,2,FALSE),"Merchant not found")</f>
        <v/>
      </c>
      <c r="J375" s="2">
        <f>IFERROR(VLOOKUP(C375,Merchants!$A$2:$D$41,3,FALSE),"Merchant not found")</f>
        <v/>
      </c>
      <c r="K375" s="2">
        <f>IFERROR(VLOOKUP(C375,Merchants!$A$2:$D$41,4,FALSE),"Merchant not found")</f>
        <v/>
      </c>
      <c r="L375" s="2">
        <f>IFERROR(HLOOKUP(F375,Fee_Tiers!$B$4:$E$5,2,FALSE),0)</f>
        <v/>
      </c>
      <c r="M375" s="2">
        <f>IF(AND(E375&gt;500,K375&lt;&gt;"East"),"High-Value Merchant Day",IF(AND(E375&gt;500,K375="East"),"High-Value East (Excluded)",IF(E375&lt;=500,"Standard","Unknown")))</f>
        <v/>
      </c>
    </row>
    <row r="376">
      <c r="A376" s="2" t="inlineStr">
        <is>
          <t>TXN100374</t>
        </is>
      </c>
      <c r="B376" s="2" t="n">
        <v>148</v>
      </c>
      <c r="C376" s="2" t="n">
        <v>14</v>
      </c>
      <c r="D376" s="2" t="inlineStr">
        <is>
          <t>2026-01-08 09:49:00</t>
        </is>
      </c>
      <c r="E376" s="2" t="n">
        <v>799</v>
      </c>
      <c r="F376" s="2" t="inlineStr">
        <is>
          <t>Wallet</t>
        </is>
      </c>
      <c r="G376" s="2" t="inlineStr">
        <is>
          <t>captured</t>
        </is>
      </c>
      <c r="H376" s="2" t="n">
        <v>88</v>
      </c>
      <c r="I376" s="2">
        <f>IFERROR(VLOOKUP(C376,Merchants!$A$2:$D$41,2,FALSE),"Merchant not found")</f>
        <v/>
      </c>
      <c r="J376" s="2">
        <f>IFERROR(VLOOKUP(C376,Merchants!$A$2:$D$41,3,FALSE),"Merchant not found")</f>
        <v/>
      </c>
      <c r="K376" s="2">
        <f>IFERROR(VLOOKUP(C376,Merchants!$A$2:$D$41,4,FALSE),"Merchant not found")</f>
        <v/>
      </c>
      <c r="L376" s="2">
        <f>IFERROR(HLOOKUP(F376,Fee_Tiers!$B$4:$E$5,2,FALSE),0)</f>
        <v/>
      </c>
      <c r="M376" s="2">
        <f>IF(AND(E376&gt;500,K376&lt;&gt;"East"),"High-Value Merchant Day",IF(AND(E376&gt;500,K376="East"),"High-Value East (Excluded)",IF(E376&lt;=500,"Standard","Unknown")))</f>
        <v/>
      </c>
    </row>
    <row r="377">
      <c r="A377" s="2" t="inlineStr">
        <is>
          <t>TXN100375</t>
        </is>
      </c>
      <c r="B377" s="2" t="n">
        <v>246</v>
      </c>
      <c r="C377" s="2" t="n">
        <v>23</v>
      </c>
      <c r="D377" s="2" t="inlineStr">
        <is>
          <t>2026-01-23 15:20:00</t>
        </is>
      </c>
      <c r="E377" s="2" t="n">
        <v>49</v>
      </c>
      <c r="F377" s="2" t="inlineStr">
        <is>
          <t>UPI</t>
        </is>
      </c>
      <c r="G377" s="2" t="inlineStr">
        <is>
          <t>captured</t>
        </is>
      </c>
      <c r="H377" s="2" t="n">
        <v>71</v>
      </c>
      <c r="I377" s="2">
        <f>IFERROR(VLOOKUP(C377,Merchants!$A$2:$D$41,2,FALSE),"Merchant not found")</f>
        <v/>
      </c>
      <c r="J377" s="2">
        <f>IFERROR(VLOOKUP(C377,Merchants!$A$2:$D$41,3,FALSE),"Merchant not found")</f>
        <v/>
      </c>
      <c r="K377" s="2">
        <f>IFERROR(VLOOKUP(C377,Merchants!$A$2:$D$41,4,FALSE),"Merchant not found")</f>
        <v/>
      </c>
      <c r="L377" s="2">
        <f>IFERROR(HLOOKUP(F377,Fee_Tiers!$B$4:$E$5,2,FALSE),0)</f>
        <v/>
      </c>
      <c r="M377" s="2">
        <f>IF(AND(E377&gt;500,K377&lt;&gt;"East"),"High-Value Merchant Day",IF(AND(E377&gt;500,K377="East"),"High-Value East (Excluded)",IF(E377&lt;=500,"Standard","Unknown")))</f>
        <v/>
      </c>
    </row>
    <row r="378">
      <c r="A378" s="2" t="inlineStr">
        <is>
          <t>TXN100376</t>
        </is>
      </c>
      <c r="B378" s="2" t="n">
        <v>148</v>
      </c>
      <c r="C378" s="2" t="n">
        <v>8</v>
      </c>
      <c r="D378" s="2" t="inlineStr">
        <is>
          <t>2026-01-30 23:17:00</t>
        </is>
      </c>
      <c r="E378" s="2" t="n">
        <v>99</v>
      </c>
      <c r="F378" s="2" t="inlineStr">
        <is>
          <t>Wallet</t>
        </is>
      </c>
      <c r="G378" s="2" t="inlineStr">
        <is>
          <t>captured</t>
        </is>
      </c>
      <c r="H378" s="2" t="n">
        <v>73</v>
      </c>
      <c r="I378" s="2">
        <f>IFERROR(VLOOKUP(C378,Merchants!$A$2:$D$41,2,FALSE),"Merchant not found")</f>
        <v/>
      </c>
      <c r="J378" s="2">
        <f>IFERROR(VLOOKUP(C378,Merchants!$A$2:$D$41,3,FALSE),"Merchant not found")</f>
        <v/>
      </c>
      <c r="K378" s="2">
        <f>IFERROR(VLOOKUP(C378,Merchants!$A$2:$D$41,4,FALSE),"Merchant not found")</f>
        <v/>
      </c>
      <c r="L378" s="2">
        <f>IFERROR(HLOOKUP(F378,Fee_Tiers!$B$4:$E$5,2,FALSE),0)</f>
        <v/>
      </c>
      <c r="M378" s="2">
        <f>IF(AND(E378&gt;500,K378&lt;&gt;"East"),"High-Value Merchant Day",IF(AND(E378&gt;500,K378="East"),"High-Value East (Excluded)",IF(E378&lt;=500,"Standard","Unknown")))</f>
        <v/>
      </c>
    </row>
    <row r="379">
      <c r="A379" s="2" t="inlineStr">
        <is>
          <t>TXN100377</t>
        </is>
      </c>
      <c r="B379" s="2" t="n">
        <v>203</v>
      </c>
      <c r="C379" s="2" t="n">
        <v>23</v>
      </c>
      <c r="D379" s="2" t="inlineStr">
        <is>
          <t>2026-01-22 17:24:00</t>
        </is>
      </c>
      <c r="E379" s="2" t="n">
        <v>49</v>
      </c>
      <c r="F379" s="2" t="inlineStr">
        <is>
          <t>UPI</t>
        </is>
      </c>
      <c r="G379" s="2" t="inlineStr">
        <is>
          <t>captured</t>
        </is>
      </c>
      <c r="H379" s="2" t="n">
        <v>98</v>
      </c>
      <c r="I379" s="2">
        <f>IFERROR(VLOOKUP(C379,Merchants!$A$2:$D$41,2,FALSE),"Merchant not found")</f>
        <v/>
      </c>
      <c r="J379" s="2">
        <f>IFERROR(VLOOKUP(C379,Merchants!$A$2:$D$41,3,FALSE),"Merchant not found")</f>
        <v/>
      </c>
      <c r="K379" s="2">
        <f>IFERROR(VLOOKUP(C379,Merchants!$A$2:$D$41,4,FALSE),"Merchant not found")</f>
        <v/>
      </c>
      <c r="L379" s="2">
        <f>IFERROR(HLOOKUP(F379,Fee_Tiers!$B$4:$E$5,2,FALSE),0)</f>
        <v/>
      </c>
      <c r="M379" s="2">
        <f>IF(AND(E379&gt;500,K379&lt;&gt;"East"),"High-Value Merchant Day",IF(AND(E379&gt;500,K379="East"),"High-Value East (Excluded)",IF(E379&lt;=500,"Standard","Unknown")))</f>
        <v/>
      </c>
    </row>
    <row r="380">
      <c r="A380" s="2" t="inlineStr">
        <is>
          <t>TXN100378</t>
        </is>
      </c>
      <c r="B380" s="2" t="n">
        <v>22</v>
      </c>
      <c r="C380" s="2" t="n">
        <v>19</v>
      </c>
      <c r="D380" s="2" t="inlineStr">
        <is>
          <t>2026-01-26 04:18:00</t>
        </is>
      </c>
      <c r="E380" s="2" t="n">
        <v>49</v>
      </c>
      <c r="F380" s="2" t="inlineStr">
        <is>
          <t>Card</t>
        </is>
      </c>
      <c r="G380" s="2" t="inlineStr">
        <is>
          <t>captured</t>
        </is>
      </c>
      <c r="H380" s="2" t="n">
        <v>91</v>
      </c>
      <c r="I380" s="2">
        <f>IFERROR(VLOOKUP(C380,Merchants!$A$2:$D$41,2,FALSE),"Merchant not found")</f>
        <v/>
      </c>
      <c r="J380" s="2">
        <f>IFERROR(VLOOKUP(C380,Merchants!$A$2:$D$41,3,FALSE),"Merchant not found")</f>
        <v/>
      </c>
      <c r="K380" s="2">
        <f>IFERROR(VLOOKUP(C380,Merchants!$A$2:$D$41,4,FALSE),"Merchant not found")</f>
        <v/>
      </c>
      <c r="L380" s="2">
        <f>IFERROR(HLOOKUP(F380,Fee_Tiers!$B$4:$E$5,2,FALSE),0)</f>
        <v/>
      </c>
      <c r="M380" s="2">
        <f>IF(AND(E380&gt;500,K380&lt;&gt;"East"),"High-Value Merchant Day",IF(AND(E380&gt;500,K380="East"),"High-Value East (Excluded)",IF(E380&lt;=500,"Standard","Unknown")))</f>
        <v/>
      </c>
    </row>
    <row r="381">
      <c r="A381" s="2" t="inlineStr">
        <is>
          <t>TXN100379</t>
        </is>
      </c>
      <c r="B381" s="2" t="n">
        <v>227</v>
      </c>
      <c r="C381" s="2" t="n">
        <v>17</v>
      </c>
      <c r="D381" s="2" t="inlineStr">
        <is>
          <t>2026-01-03 11:59:00</t>
        </is>
      </c>
      <c r="E381" s="2" t="n">
        <v>299</v>
      </c>
      <c r="F381" s="2" t="inlineStr">
        <is>
          <t>Wallet</t>
        </is>
      </c>
      <c r="G381" s="2" t="inlineStr">
        <is>
          <t>captured</t>
        </is>
      </c>
      <c r="H381" s="2" t="n">
        <v>95</v>
      </c>
      <c r="I381" s="2">
        <f>IFERROR(VLOOKUP(C381,Merchants!$A$2:$D$41,2,FALSE),"Merchant not found")</f>
        <v/>
      </c>
      <c r="J381" s="2">
        <f>IFERROR(VLOOKUP(C381,Merchants!$A$2:$D$41,3,FALSE),"Merchant not found")</f>
        <v/>
      </c>
      <c r="K381" s="2">
        <f>IFERROR(VLOOKUP(C381,Merchants!$A$2:$D$41,4,FALSE),"Merchant not found")</f>
        <v/>
      </c>
      <c r="L381" s="2">
        <f>IFERROR(HLOOKUP(F381,Fee_Tiers!$B$4:$E$5,2,FALSE),0)</f>
        <v/>
      </c>
      <c r="M381" s="2">
        <f>IF(AND(E381&gt;500,K381&lt;&gt;"East"),"High-Value Merchant Day",IF(AND(E381&gt;500,K381="East"),"High-Value East (Excluded)",IF(E381&lt;=500,"Standard","Unknown")))</f>
        <v/>
      </c>
    </row>
    <row r="382">
      <c r="A382" s="2" t="inlineStr">
        <is>
          <t>TXN100380</t>
        </is>
      </c>
      <c r="B382" s="2" t="n">
        <v>276</v>
      </c>
      <c r="C382" s="2" t="n">
        <v>18</v>
      </c>
      <c r="D382" s="2" t="inlineStr">
        <is>
          <t>2026-01-16 06:12:00</t>
        </is>
      </c>
      <c r="E382" s="2" t="n">
        <v>149</v>
      </c>
      <c r="F382" s="2" t="inlineStr">
        <is>
          <t>Wallet</t>
        </is>
      </c>
      <c r="G382" s="2" t="inlineStr">
        <is>
          <t>captured</t>
        </is>
      </c>
      <c r="H382" s="2" t="n">
        <v>71</v>
      </c>
      <c r="I382" s="2">
        <f>IFERROR(VLOOKUP(C382,Merchants!$A$2:$D$41,2,FALSE),"Merchant not found")</f>
        <v/>
      </c>
      <c r="J382" s="2">
        <f>IFERROR(VLOOKUP(C382,Merchants!$A$2:$D$41,3,FALSE),"Merchant not found")</f>
        <v/>
      </c>
      <c r="K382" s="2">
        <f>IFERROR(VLOOKUP(C382,Merchants!$A$2:$D$41,4,FALSE),"Merchant not found")</f>
        <v/>
      </c>
      <c r="L382" s="2">
        <f>IFERROR(HLOOKUP(F382,Fee_Tiers!$B$4:$E$5,2,FALSE),0)</f>
        <v/>
      </c>
      <c r="M382" s="2">
        <f>IF(AND(E382&gt;500,K382&lt;&gt;"East"),"High-Value Merchant Day",IF(AND(E382&gt;500,K382="East"),"High-Value East (Excluded)",IF(E382&lt;=500,"Standard","Unknown")))</f>
        <v/>
      </c>
    </row>
    <row r="383">
      <c r="A383" s="2" t="inlineStr">
        <is>
          <t>TXN100381</t>
        </is>
      </c>
      <c r="B383" s="2" t="n">
        <v>56</v>
      </c>
      <c r="C383" s="2" t="n">
        <v>40</v>
      </c>
      <c r="D383" s="2" t="inlineStr">
        <is>
          <t>2026-01-23 08:08:00</t>
        </is>
      </c>
      <c r="E383" s="2" t="n">
        <v>99</v>
      </c>
      <c r="F383" s="2" t="inlineStr">
        <is>
          <t>Card</t>
        </is>
      </c>
      <c r="G383" s="2" t="inlineStr">
        <is>
          <t>captured</t>
        </is>
      </c>
      <c r="H383" s="2" t="n">
        <v>94</v>
      </c>
      <c r="I383" s="2">
        <f>IFERROR(VLOOKUP(C383,Merchants!$A$2:$D$41,2,FALSE),"Merchant not found")</f>
        <v/>
      </c>
      <c r="J383" s="2">
        <f>IFERROR(VLOOKUP(C383,Merchants!$A$2:$D$41,3,FALSE),"Merchant not found")</f>
        <v/>
      </c>
      <c r="K383" s="2">
        <f>IFERROR(VLOOKUP(C383,Merchants!$A$2:$D$41,4,FALSE),"Merchant not found")</f>
        <v/>
      </c>
      <c r="L383" s="2">
        <f>IFERROR(HLOOKUP(F383,Fee_Tiers!$B$4:$E$5,2,FALSE),0)</f>
        <v/>
      </c>
      <c r="M383" s="2">
        <f>IF(AND(E383&gt;500,K383&lt;&gt;"East"),"High-Value Merchant Day",IF(AND(E383&gt;500,K383="East"),"High-Value East (Excluded)",IF(E383&lt;=500,"Standard","Unknown")))</f>
        <v/>
      </c>
    </row>
    <row r="384">
      <c r="A384" s="2" t="inlineStr">
        <is>
          <t>TXN100382</t>
        </is>
      </c>
      <c r="B384" s="2" t="n">
        <v>26</v>
      </c>
      <c r="C384" s="2" t="n">
        <v>34</v>
      </c>
      <c r="D384" s="2" t="inlineStr">
        <is>
          <t>2026-01-19 07:15:00</t>
        </is>
      </c>
      <c r="E384" s="2" t="n">
        <v>499</v>
      </c>
      <c r="F384" s="2" t="inlineStr">
        <is>
          <t>Card</t>
        </is>
      </c>
      <c r="G384" s="2" t="inlineStr">
        <is>
          <t>captured</t>
        </is>
      </c>
      <c r="H384" s="2" t="n">
        <v>28</v>
      </c>
      <c r="I384" s="2">
        <f>IFERROR(VLOOKUP(C384,Merchants!$A$2:$D$41,2,FALSE),"Merchant not found")</f>
        <v/>
      </c>
      <c r="J384" s="2">
        <f>IFERROR(VLOOKUP(C384,Merchants!$A$2:$D$41,3,FALSE),"Merchant not found")</f>
        <v/>
      </c>
      <c r="K384" s="2">
        <f>IFERROR(VLOOKUP(C384,Merchants!$A$2:$D$41,4,FALSE),"Merchant not found")</f>
        <v/>
      </c>
      <c r="L384" s="2">
        <f>IFERROR(HLOOKUP(F384,Fee_Tiers!$B$4:$E$5,2,FALSE),0)</f>
        <v/>
      </c>
      <c r="M384" s="2">
        <f>IF(AND(E384&gt;500,K384&lt;&gt;"East"),"High-Value Merchant Day",IF(AND(E384&gt;500,K384="East"),"High-Value East (Excluded)",IF(E384&lt;=500,"Standard","Unknown")))</f>
        <v/>
      </c>
    </row>
    <row r="385">
      <c r="A385" s="2" t="inlineStr">
        <is>
          <t>TXN100383</t>
        </is>
      </c>
      <c r="B385" s="2" t="n">
        <v>52</v>
      </c>
      <c r="C385" s="2" t="n">
        <v>27</v>
      </c>
      <c r="D385" s="2" t="inlineStr">
        <is>
          <t>2026-01-21 07:03:00</t>
        </is>
      </c>
      <c r="E385" s="2" t="n">
        <v>499</v>
      </c>
      <c r="F385" s="2" t="inlineStr">
        <is>
          <t>Card</t>
        </is>
      </c>
      <c r="G385" s="2" t="inlineStr">
        <is>
          <t>captured</t>
        </is>
      </c>
      <c r="H385" s="2" t="n">
        <v>42</v>
      </c>
      <c r="I385" s="2">
        <f>IFERROR(VLOOKUP(C385,Merchants!$A$2:$D$41,2,FALSE),"Merchant not found")</f>
        <v/>
      </c>
      <c r="J385" s="2">
        <f>IFERROR(VLOOKUP(C385,Merchants!$A$2:$D$41,3,FALSE),"Merchant not found")</f>
        <v/>
      </c>
      <c r="K385" s="2">
        <f>IFERROR(VLOOKUP(C385,Merchants!$A$2:$D$41,4,FALSE),"Merchant not found")</f>
        <v/>
      </c>
      <c r="L385" s="2">
        <f>IFERROR(HLOOKUP(F385,Fee_Tiers!$B$4:$E$5,2,FALSE),0)</f>
        <v/>
      </c>
      <c r="M385" s="2">
        <f>IF(AND(E385&gt;500,K385&lt;&gt;"East"),"High-Value Merchant Day",IF(AND(E385&gt;500,K385="East"),"High-Value East (Excluded)",IF(E385&lt;=500,"Standard","Unknown")))</f>
        <v/>
      </c>
    </row>
    <row r="386">
      <c r="A386" s="2" t="inlineStr">
        <is>
          <t>TXN100384</t>
        </is>
      </c>
      <c r="B386" s="2" t="n">
        <v>349</v>
      </c>
      <c r="C386" s="2" t="n">
        <v>9</v>
      </c>
      <c r="D386" s="2" t="inlineStr">
        <is>
          <t>2026-01-23 15:06:00</t>
        </is>
      </c>
      <c r="E386" s="2" t="n">
        <v>499</v>
      </c>
      <c r="F386" s="2" t="inlineStr">
        <is>
          <t>Wallet</t>
        </is>
      </c>
      <c r="G386" s="2" t="inlineStr">
        <is>
          <t>captured</t>
        </is>
      </c>
      <c r="H386" s="2" t="n">
        <v>0</v>
      </c>
      <c r="I386" s="2">
        <f>IFERROR(VLOOKUP(C386,Merchants!$A$2:$D$41,2,FALSE),"Merchant not found")</f>
        <v/>
      </c>
      <c r="J386" s="2">
        <f>IFERROR(VLOOKUP(C386,Merchants!$A$2:$D$41,3,FALSE),"Merchant not found")</f>
        <v/>
      </c>
      <c r="K386" s="2">
        <f>IFERROR(VLOOKUP(C386,Merchants!$A$2:$D$41,4,FALSE),"Merchant not found")</f>
        <v/>
      </c>
      <c r="L386" s="2">
        <f>IFERROR(HLOOKUP(F386,Fee_Tiers!$B$4:$E$5,2,FALSE),0)</f>
        <v/>
      </c>
      <c r="M386" s="2">
        <f>IF(AND(E386&gt;500,K386&lt;&gt;"East"),"High-Value Merchant Day",IF(AND(E386&gt;500,K386="East"),"High-Value East (Excluded)",IF(E386&lt;=500,"Standard","Unknown")))</f>
        <v/>
      </c>
    </row>
    <row r="387">
      <c r="A387" s="2" t="inlineStr">
        <is>
          <t>TXN100385</t>
        </is>
      </c>
      <c r="B387" s="2" t="n">
        <v>335</v>
      </c>
      <c r="C387" s="2" t="n">
        <v>31</v>
      </c>
      <c r="D387" s="2" t="inlineStr">
        <is>
          <t>2026-01-18 05:26:00</t>
        </is>
      </c>
      <c r="E387" s="2" t="n">
        <v>49</v>
      </c>
      <c r="F387" s="2" t="inlineStr">
        <is>
          <t>Card</t>
        </is>
      </c>
      <c r="G387" s="2" t="inlineStr">
        <is>
          <t>captured</t>
        </is>
      </c>
      <c r="H387" s="2" t="n">
        <v>61</v>
      </c>
      <c r="I387" s="2">
        <f>IFERROR(VLOOKUP(C387,Merchants!$A$2:$D$41,2,FALSE),"Merchant not found")</f>
        <v/>
      </c>
      <c r="J387" s="2">
        <f>IFERROR(VLOOKUP(C387,Merchants!$A$2:$D$41,3,FALSE),"Merchant not found")</f>
        <v/>
      </c>
      <c r="K387" s="2">
        <f>IFERROR(VLOOKUP(C387,Merchants!$A$2:$D$41,4,FALSE),"Merchant not found")</f>
        <v/>
      </c>
      <c r="L387" s="2">
        <f>IFERROR(HLOOKUP(F387,Fee_Tiers!$B$4:$E$5,2,FALSE),0)</f>
        <v/>
      </c>
      <c r="M387" s="2">
        <f>IF(AND(E387&gt;500,K387&lt;&gt;"East"),"High-Value Merchant Day",IF(AND(E387&gt;500,K387="East"),"High-Value East (Excluded)",IF(E387&lt;=500,"Standard","Unknown")))</f>
        <v/>
      </c>
    </row>
    <row r="388">
      <c r="A388" s="2" t="inlineStr">
        <is>
          <t>TXN100386</t>
        </is>
      </c>
      <c r="B388" s="2" t="n">
        <v>148</v>
      </c>
      <c r="C388" s="2" t="n">
        <v>21</v>
      </c>
      <c r="D388" s="2" t="inlineStr">
        <is>
          <t>2026-01-21 06:48:00</t>
        </is>
      </c>
      <c r="E388" s="2" t="n">
        <v>49</v>
      </c>
      <c r="F388" s="2" t="inlineStr">
        <is>
          <t>Card</t>
        </is>
      </c>
      <c r="G388" s="2" t="inlineStr">
        <is>
          <t>captured</t>
        </is>
      </c>
      <c r="H388" s="2" t="n">
        <v>36</v>
      </c>
      <c r="I388" s="2">
        <f>IFERROR(VLOOKUP(C388,Merchants!$A$2:$D$41,2,FALSE),"Merchant not found")</f>
        <v/>
      </c>
      <c r="J388" s="2">
        <f>IFERROR(VLOOKUP(C388,Merchants!$A$2:$D$41,3,FALSE),"Merchant not found")</f>
        <v/>
      </c>
      <c r="K388" s="2">
        <f>IFERROR(VLOOKUP(C388,Merchants!$A$2:$D$41,4,FALSE),"Merchant not found")</f>
        <v/>
      </c>
      <c r="L388" s="2">
        <f>IFERROR(HLOOKUP(F388,Fee_Tiers!$B$4:$E$5,2,FALSE),0)</f>
        <v/>
      </c>
      <c r="M388" s="2">
        <f>IF(AND(E388&gt;500,K388&lt;&gt;"East"),"High-Value Merchant Day",IF(AND(E388&gt;500,K388="East"),"High-Value East (Excluded)",IF(E388&lt;=500,"Standard","Unknown")))</f>
        <v/>
      </c>
    </row>
    <row r="389">
      <c r="A389" s="2" t="inlineStr">
        <is>
          <t>TXN100387</t>
        </is>
      </c>
      <c r="B389" s="2" t="n">
        <v>46</v>
      </c>
      <c r="C389" s="2" t="n">
        <v>37</v>
      </c>
      <c r="D389" s="2" t="inlineStr">
        <is>
          <t>2026-01-21 01:58:00</t>
        </is>
      </c>
      <c r="E389" s="2" t="n">
        <v>99</v>
      </c>
      <c r="F389" s="2" t="inlineStr">
        <is>
          <t>Wallet</t>
        </is>
      </c>
      <c r="G389" s="2" t="inlineStr">
        <is>
          <t>captured</t>
        </is>
      </c>
      <c r="H389" s="2" t="n">
        <v>29</v>
      </c>
      <c r="I389" s="2">
        <f>IFERROR(VLOOKUP(C389,Merchants!$A$2:$D$41,2,FALSE),"Merchant not found")</f>
        <v/>
      </c>
      <c r="J389" s="2">
        <f>IFERROR(VLOOKUP(C389,Merchants!$A$2:$D$41,3,FALSE),"Merchant not found")</f>
        <v/>
      </c>
      <c r="K389" s="2">
        <f>IFERROR(VLOOKUP(C389,Merchants!$A$2:$D$41,4,FALSE),"Merchant not found")</f>
        <v/>
      </c>
      <c r="L389" s="2">
        <f>IFERROR(HLOOKUP(F389,Fee_Tiers!$B$4:$E$5,2,FALSE),0)</f>
        <v/>
      </c>
      <c r="M389" s="2">
        <f>IF(AND(E389&gt;500,K389&lt;&gt;"East"),"High-Value Merchant Day",IF(AND(E389&gt;500,K389="East"),"High-Value East (Excluded)",IF(E389&lt;=500,"Standard","Unknown")))</f>
        <v/>
      </c>
    </row>
    <row r="390">
      <c r="A390" s="2" t="inlineStr">
        <is>
          <t>TXN100388</t>
        </is>
      </c>
      <c r="B390" s="2" t="n">
        <v>20</v>
      </c>
      <c r="C390" s="2" t="n">
        <v>12</v>
      </c>
      <c r="D390" s="2" t="inlineStr">
        <is>
          <t>2026-01-18 23:46:00</t>
        </is>
      </c>
      <c r="E390" s="2" t="n">
        <v>799</v>
      </c>
      <c r="F390" s="2" t="inlineStr">
        <is>
          <t>Card</t>
        </is>
      </c>
      <c r="G390" s="2" t="inlineStr">
        <is>
          <t>captured</t>
        </is>
      </c>
      <c r="H390" s="2" t="n">
        <v>53</v>
      </c>
      <c r="I390" s="2">
        <f>IFERROR(VLOOKUP(C390,Merchants!$A$2:$D$41,2,FALSE),"Merchant not found")</f>
        <v/>
      </c>
      <c r="J390" s="2">
        <f>IFERROR(VLOOKUP(C390,Merchants!$A$2:$D$41,3,FALSE),"Merchant not found")</f>
        <v/>
      </c>
      <c r="K390" s="2">
        <f>IFERROR(VLOOKUP(C390,Merchants!$A$2:$D$41,4,FALSE),"Merchant not found")</f>
        <v/>
      </c>
      <c r="L390" s="2">
        <f>IFERROR(HLOOKUP(F390,Fee_Tiers!$B$4:$E$5,2,FALSE),0)</f>
        <v/>
      </c>
      <c r="M390" s="2">
        <f>IF(AND(E390&gt;500,K390&lt;&gt;"East"),"High-Value Merchant Day",IF(AND(E390&gt;500,K390="East"),"High-Value East (Excluded)",IF(E390&lt;=500,"Standard","Unknown")))</f>
        <v/>
      </c>
    </row>
    <row r="391">
      <c r="A391" s="2" t="inlineStr">
        <is>
          <t>TXN100389</t>
        </is>
      </c>
      <c r="B391" s="2" t="n">
        <v>19</v>
      </c>
      <c r="C391" s="2" t="n">
        <v>26</v>
      </c>
      <c r="D391" s="2" t="inlineStr">
        <is>
          <t>2026-01-29 05:59:00</t>
        </is>
      </c>
      <c r="E391" s="2" t="n">
        <v>49</v>
      </c>
      <c r="F391" s="2" t="inlineStr">
        <is>
          <t>UPI</t>
        </is>
      </c>
      <c r="G391" s="2" t="inlineStr">
        <is>
          <t>captured</t>
        </is>
      </c>
      <c r="H391" s="2" t="n">
        <v>100</v>
      </c>
      <c r="I391" s="2">
        <f>IFERROR(VLOOKUP(C391,Merchants!$A$2:$D$41,2,FALSE),"Merchant not found")</f>
        <v/>
      </c>
      <c r="J391" s="2">
        <f>IFERROR(VLOOKUP(C391,Merchants!$A$2:$D$41,3,FALSE),"Merchant not found")</f>
        <v/>
      </c>
      <c r="K391" s="2">
        <f>IFERROR(VLOOKUP(C391,Merchants!$A$2:$D$41,4,FALSE),"Merchant not found")</f>
        <v/>
      </c>
      <c r="L391" s="2">
        <f>IFERROR(HLOOKUP(F391,Fee_Tiers!$B$4:$E$5,2,FALSE),0)</f>
        <v/>
      </c>
      <c r="M391" s="2">
        <f>IF(AND(E391&gt;500,K391&lt;&gt;"East"),"High-Value Merchant Day",IF(AND(E391&gt;500,K391="East"),"High-Value East (Excluded)",IF(E391&lt;=500,"Standard","Unknown")))</f>
        <v/>
      </c>
    </row>
    <row r="392">
      <c r="A392" s="2" t="inlineStr">
        <is>
          <t>TXN100390</t>
        </is>
      </c>
      <c r="B392" s="2" t="n">
        <v>149</v>
      </c>
      <c r="C392" s="2" t="n">
        <v>3</v>
      </c>
      <c r="D392" s="2" t="inlineStr">
        <is>
          <t>2026-01-16 05:59:00</t>
        </is>
      </c>
      <c r="E392" s="2" t="n">
        <v>4999</v>
      </c>
      <c r="F392" s="2" t="inlineStr">
        <is>
          <t>Wallet</t>
        </is>
      </c>
      <c r="G392" s="2" t="inlineStr">
        <is>
          <t>captured</t>
        </is>
      </c>
      <c r="H392" s="2" t="n">
        <v>1</v>
      </c>
      <c r="I392" s="2">
        <f>IFERROR(VLOOKUP(C392,Merchants!$A$2:$D$41,2,FALSE),"Merchant not found")</f>
        <v/>
      </c>
      <c r="J392" s="2">
        <f>IFERROR(VLOOKUP(C392,Merchants!$A$2:$D$41,3,FALSE),"Merchant not found")</f>
        <v/>
      </c>
      <c r="K392" s="2">
        <f>IFERROR(VLOOKUP(C392,Merchants!$A$2:$D$41,4,FALSE),"Merchant not found")</f>
        <v/>
      </c>
      <c r="L392" s="2">
        <f>IFERROR(HLOOKUP(F392,Fee_Tiers!$B$4:$E$5,2,FALSE),0)</f>
        <v/>
      </c>
      <c r="M392" s="2">
        <f>IF(AND(E392&gt;500,K392&lt;&gt;"East"),"High-Value Merchant Day",IF(AND(E392&gt;500,K392="East"),"High-Value East (Excluded)",IF(E392&lt;=500,"Standard","Unknown")))</f>
        <v/>
      </c>
    </row>
    <row r="393">
      <c r="A393" s="2" t="inlineStr">
        <is>
          <t>TXN100391</t>
        </is>
      </c>
      <c r="B393" s="2" t="n">
        <v>55</v>
      </c>
      <c r="C393" s="2" t="n">
        <v>22</v>
      </c>
      <c r="D393" s="2" t="inlineStr">
        <is>
          <t>2026-01-10 18:38:00</t>
        </is>
      </c>
      <c r="E393" s="2" t="n">
        <v>499</v>
      </c>
      <c r="F393" s="2" t="inlineStr">
        <is>
          <t>UPI</t>
        </is>
      </c>
      <c r="G393" s="2" t="inlineStr">
        <is>
          <t>captured</t>
        </is>
      </c>
      <c r="H393" s="2" t="n">
        <v>36</v>
      </c>
      <c r="I393" s="2">
        <f>IFERROR(VLOOKUP(C393,Merchants!$A$2:$D$41,2,FALSE),"Merchant not found")</f>
        <v/>
      </c>
      <c r="J393" s="2">
        <f>IFERROR(VLOOKUP(C393,Merchants!$A$2:$D$41,3,FALSE),"Merchant not found")</f>
        <v/>
      </c>
      <c r="K393" s="2">
        <f>IFERROR(VLOOKUP(C393,Merchants!$A$2:$D$41,4,FALSE),"Merchant not found")</f>
        <v/>
      </c>
      <c r="L393" s="2">
        <f>IFERROR(HLOOKUP(F393,Fee_Tiers!$B$4:$E$5,2,FALSE),0)</f>
        <v/>
      </c>
      <c r="M393" s="2">
        <f>IF(AND(E393&gt;500,K393&lt;&gt;"East"),"High-Value Merchant Day",IF(AND(E393&gt;500,K393="East"),"High-Value East (Excluded)",IF(E393&lt;=500,"Standard","Unknown")))</f>
        <v/>
      </c>
    </row>
    <row r="394">
      <c r="A394" s="2" t="inlineStr">
        <is>
          <t>TXN100392</t>
        </is>
      </c>
      <c r="B394" s="2" t="n">
        <v>269</v>
      </c>
      <c r="C394" s="2" t="n">
        <v>32</v>
      </c>
      <c r="D394" s="2" t="inlineStr">
        <is>
          <t>2026-01-15 20:34:00</t>
        </is>
      </c>
      <c r="E394" s="2" t="n">
        <v>49</v>
      </c>
      <c r="F394" s="2" t="inlineStr">
        <is>
          <t>Card</t>
        </is>
      </c>
      <c r="G394" s="2" t="inlineStr">
        <is>
          <t>captured</t>
        </is>
      </c>
      <c r="H394" s="2" t="n">
        <v>17</v>
      </c>
      <c r="I394" s="2">
        <f>IFERROR(VLOOKUP(C394,Merchants!$A$2:$D$41,2,FALSE),"Merchant not found")</f>
        <v/>
      </c>
      <c r="J394" s="2">
        <f>IFERROR(VLOOKUP(C394,Merchants!$A$2:$D$41,3,FALSE),"Merchant not found")</f>
        <v/>
      </c>
      <c r="K394" s="2">
        <f>IFERROR(VLOOKUP(C394,Merchants!$A$2:$D$41,4,FALSE),"Merchant not found")</f>
        <v/>
      </c>
      <c r="L394" s="2">
        <f>IFERROR(HLOOKUP(F394,Fee_Tiers!$B$4:$E$5,2,FALSE),0)</f>
        <v/>
      </c>
      <c r="M394" s="2">
        <f>IF(AND(E394&gt;500,K394&lt;&gt;"East"),"High-Value Merchant Day",IF(AND(E394&gt;500,K394="East"),"High-Value East (Excluded)",IF(E394&lt;=500,"Standard","Unknown")))</f>
        <v/>
      </c>
    </row>
    <row r="395">
      <c r="A395" s="2" t="inlineStr">
        <is>
          <t>TXN100393</t>
        </is>
      </c>
      <c r="B395" s="2" t="n">
        <v>140</v>
      </c>
      <c r="C395" s="2" t="n">
        <v>13</v>
      </c>
      <c r="D395" s="2" t="inlineStr">
        <is>
          <t>2026-01-28 16:29:00</t>
        </is>
      </c>
      <c r="E395" s="2" t="n">
        <v>2999</v>
      </c>
      <c r="F395" s="2" t="inlineStr">
        <is>
          <t>UPI</t>
        </is>
      </c>
      <c r="G395" s="2" t="inlineStr">
        <is>
          <t>captured</t>
        </is>
      </c>
      <c r="H395" s="2" t="n">
        <v>14</v>
      </c>
      <c r="I395" s="2">
        <f>IFERROR(VLOOKUP(C395,Merchants!$A$2:$D$41,2,FALSE),"Merchant not found")</f>
        <v/>
      </c>
      <c r="J395" s="2">
        <f>IFERROR(VLOOKUP(C395,Merchants!$A$2:$D$41,3,FALSE),"Merchant not found")</f>
        <v/>
      </c>
      <c r="K395" s="2">
        <f>IFERROR(VLOOKUP(C395,Merchants!$A$2:$D$41,4,FALSE),"Merchant not found")</f>
        <v/>
      </c>
      <c r="L395" s="2">
        <f>IFERROR(HLOOKUP(F395,Fee_Tiers!$B$4:$E$5,2,FALSE),0)</f>
        <v/>
      </c>
      <c r="M395" s="2">
        <f>IF(AND(E395&gt;500,K395&lt;&gt;"East"),"High-Value Merchant Day",IF(AND(E395&gt;500,K395="East"),"High-Value East (Excluded)",IF(E395&lt;=500,"Standard","Unknown")))</f>
        <v/>
      </c>
    </row>
    <row r="396">
      <c r="A396" s="2" t="inlineStr">
        <is>
          <t>TXN100394</t>
        </is>
      </c>
      <c r="B396" s="2" t="n">
        <v>235</v>
      </c>
      <c r="C396" s="2" t="n">
        <v>17</v>
      </c>
      <c r="D396" s="2" t="inlineStr">
        <is>
          <t>2026-01-11 05:46:00</t>
        </is>
      </c>
      <c r="E396" s="2" t="n">
        <v>2999</v>
      </c>
      <c r="F396" s="2" t="inlineStr">
        <is>
          <t>UPI</t>
        </is>
      </c>
      <c r="G396" s="2" t="inlineStr">
        <is>
          <t>captured</t>
        </is>
      </c>
      <c r="H396" s="2" t="n">
        <v>91</v>
      </c>
      <c r="I396" s="2">
        <f>IFERROR(VLOOKUP(C396,Merchants!$A$2:$D$41,2,FALSE),"Merchant not found")</f>
        <v/>
      </c>
      <c r="J396" s="2">
        <f>IFERROR(VLOOKUP(C396,Merchants!$A$2:$D$41,3,FALSE),"Merchant not found")</f>
        <v/>
      </c>
      <c r="K396" s="2">
        <f>IFERROR(VLOOKUP(C396,Merchants!$A$2:$D$41,4,FALSE),"Merchant not found")</f>
        <v/>
      </c>
      <c r="L396" s="2">
        <f>IFERROR(HLOOKUP(F396,Fee_Tiers!$B$4:$E$5,2,FALSE),0)</f>
        <v/>
      </c>
      <c r="M396" s="2">
        <f>IF(AND(E396&gt;500,K396&lt;&gt;"East"),"High-Value Merchant Day",IF(AND(E396&gt;500,K396="East"),"High-Value East (Excluded)",IF(E396&lt;=500,"Standard","Unknown")))</f>
        <v/>
      </c>
    </row>
    <row r="397">
      <c r="A397" s="2" t="inlineStr">
        <is>
          <t>TXN100395</t>
        </is>
      </c>
      <c r="B397" s="2" t="n">
        <v>173</v>
      </c>
      <c r="C397" s="2" t="n">
        <v>19</v>
      </c>
      <c r="D397" s="2" t="inlineStr">
        <is>
          <t>2026-01-06 00:47:00</t>
        </is>
      </c>
      <c r="E397" s="2" t="n">
        <v>499</v>
      </c>
      <c r="F397" s="2" t="inlineStr">
        <is>
          <t>UPI</t>
        </is>
      </c>
      <c r="G397" s="2" t="inlineStr">
        <is>
          <t>failed</t>
        </is>
      </c>
      <c r="H397" s="2" t="n">
        <v>72</v>
      </c>
      <c r="I397" s="2">
        <f>IFERROR(VLOOKUP(C397,Merchants!$A$2:$D$41,2,FALSE),"Merchant not found")</f>
        <v/>
      </c>
      <c r="J397" s="2">
        <f>IFERROR(VLOOKUP(C397,Merchants!$A$2:$D$41,3,FALSE),"Merchant not found")</f>
        <v/>
      </c>
      <c r="K397" s="2">
        <f>IFERROR(VLOOKUP(C397,Merchants!$A$2:$D$41,4,FALSE),"Merchant not found")</f>
        <v/>
      </c>
      <c r="L397" s="2">
        <f>IFERROR(HLOOKUP(F397,Fee_Tiers!$B$4:$E$5,2,FALSE),0)</f>
        <v/>
      </c>
      <c r="M397" s="2">
        <f>IF(AND(E397&gt;500,K397&lt;&gt;"East"),"High-Value Merchant Day",IF(AND(E397&gt;500,K397="East"),"High-Value East (Excluded)",IF(E397&lt;=500,"Standard","Unknown")))</f>
        <v/>
      </c>
    </row>
    <row r="398">
      <c r="A398" s="2" t="inlineStr">
        <is>
          <t>TXN100396</t>
        </is>
      </c>
      <c r="B398" s="2" t="n">
        <v>313</v>
      </c>
      <c r="C398" s="2" t="n">
        <v>26</v>
      </c>
      <c r="D398" s="2" t="inlineStr">
        <is>
          <t>2026-01-22 06:11:00</t>
        </is>
      </c>
      <c r="E398" s="2" t="n">
        <v>499</v>
      </c>
      <c r="F398" s="2" t="inlineStr">
        <is>
          <t>UPI</t>
        </is>
      </c>
      <c r="G398" s="2" t="inlineStr">
        <is>
          <t>captured</t>
        </is>
      </c>
      <c r="H398" s="2" t="n">
        <v>54</v>
      </c>
      <c r="I398" s="2">
        <f>IFERROR(VLOOKUP(C398,Merchants!$A$2:$D$41,2,FALSE),"Merchant not found")</f>
        <v/>
      </c>
      <c r="J398" s="2">
        <f>IFERROR(VLOOKUP(C398,Merchants!$A$2:$D$41,3,FALSE),"Merchant not found")</f>
        <v/>
      </c>
      <c r="K398" s="2">
        <f>IFERROR(VLOOKUP(C398,Merchants!$A$2:$D$41,4,FALSE),"Merchant not found")</f>
        <v/>
      </c>
      <c r="L398" s="2">
        <f>IFERROR(HLOOKUP(F398,Fee_Tiers!$B$4:$E$5,2,FALSE),0)</f>
        <v/>
      </c>
      <c r="M398" s="2">
        <f>IF(AND(E398&gt;500,K398&lt;&gt;"East"),"High-Value Merchant Day",IF(AND(E398&gt;500,K398="East"),"High-Value East (Excluded)",IF(E398&lt;=500,"Standard","Unknown")))</f>
        <v/>
      </c>
    </row>
    <row r="399">
      <c r="A399" s="2" t="inlineStr">
        <is>
          <t>TXN100397</t>
        </is>
      </c>
      <c r="B399" s="2" t="n">
        <v>206</v>
      </c>
      <c r="C399" s="2" t="n">
        <v>7</v>
      </c>
      <c r="D399" s="2" t="inlineStr">
        <is>
          <t>2026-01-17 10:05:00</t>
        </is>
      </c>
      <c r="E399" s="2" t="n">
        <v>149</v>
      </c>
      <c r="F399" s="2" t="inlineStr">
        <is>
          <t>Wallet</t>
        </is>
      </c>
      <c r="G399" s="2" t="inlineStr">
        <is>
          <t>captured</t>
        </is>
      </c>
      <c r="H399" s="2" t="n">
        <v>23</v>
      </c>
      <c r="I399" s="2">
        <f>IFERROR(VLOOKUP(C399,Merchants!$A$2:$D$41,2,FALSE),"Merchant not found")</f>
        <v/>
      </c>
      <c r="J399" s="2">
        <f>IFERROR(VLOOKUP(C399,Merchants!$A$2:$D$41,3,FALSE),"Merchant not found")</f>
        <v/>
      </c>
      <c r="K399" s="2">
        <f>IFERROR(VLOOKUP(C399,Merchants!$A$2:$D$41,4,FALSE),"Merchant not found")</f>
        <v/>
      </c>
      <c r="L399" s="2">
        <f>IFERROR(HLOOKUP(F399,Fee_Tiers!$B$4:$E$5,2,FALSE),0)</f>
        <v/>
      </c>
      <c r="M399" s="2">
        <f>IF(AND(E399&gt;500,K399&lt;&gt;"East"),"High-Value Merchant Day",IF(AND(E399&gt;500,K399="East"),"High-Value East (Excluded)",IF(E399&lt;=500,"Standard","Unknown")))</f>
        <v/>
      </c>
    </row>
    <row r="400">
      <c r="A400" s="2" t="inlineStr">
        <is>
          <t>TXN100398</t>
        </is>
      </c>
      <c r="B400" s="2" t="n">
        <v>128</v>
      </c>
      <c r="C400" s="2" t="n">
        <v>1</v>
      </c>
      <c r="D400" s="2" t="inlineStr">
        <is>
          <t>2026-01-05 15:20:00</t>
        </is>
      </c>
      <c r="E400" s="2" t="n">
        <v>1499</v>
      </c>
      <c r="F400" s="2" t="inlineStr">
        <is>
          <t>Netbanking</t>
        </is>
      </c>
      <c r="G400" s="2" t="inlineStr">
        <is>
          <t>captured</t>
        </is>
      </c>
      <c r="H400" s="2" t="n">
        <v>33</v>
      </c>
      <c r="I400" s="2">
        <f>IFERROR(VLOOKUP(C400,Merchants!$A$2:$D$41,2,FALSE),"Merchant not found")</f>
        <v/>
      </c>
      <c r="J400" s="2">
        <f>IFERROR(VLOOKUP(C400,Merchants!$A$2:$D$41,3,FALSE),"Merchant not found")</f>
        <v/>
      </c>
      <c r="K400" s="2">
        <f>IFERROR(VLOOKUP(C400,Merchants!$A$2:$D$41,4,FALSE),"Merchant not found")</f>
        <v/>
      </c>
      <c r="L400" s="2">
        <f>IFERROR(HLOOKUP(F400,Fee_Tiers!$B$4:$E$5,2,FALSE),0)</f>
        <v/>
      </c>
      <c r="M400" s="2">
        <f>IF(AND(E400&gt;500,K400&lt;&gt;"East"),"High-Value Merchant Day",IF(AND(E400&gt;500,K400="East"),"High-Value East (Excluded)",IF(E400&lt;=500,"Standard","Unknown")))</f>
        <v/>
      </c>
    </row>
    <row r="401">
      <c r="A401" s="2" t="inlineStr">
        <is>
          <t>TXN100399</t>
        </is>
      </c>
      <c r="B401" s="2" t="n">
        <v>137</v>
      </c>
      <c r="C401" s="2" t="n">
        <v>22</v>
      </c>
      <c r="D401" s="2" t="inlineStr">
        <is>
          <t>2026-01-13 07:28:00</t>
        </is>
      </c>
      <c r="E401" s="2" t="n">
        <v>799</v>
      </c>
      <c r="F401" s="2" t="inlineStr">
        <is>
          <t>UPI</t>
        </is>
      </c>
      <c r="G401" s="2" t="inlineStr">
        <is>
          <t>failed</t>
        </is>
      </c>
      <c r="H401" s="2" t="n">
        <v>38</v>
      </c>
      <c r="I401" s="2">
        <f>IFERROR(VLOOKUP(C401,Merchants!$A$2:$D$41,2,FALSE),"Merchant not found")</f>
        <v/>
      </c>
      <c r="J401" s="2">
        <f>IFERROR(VLOOKUP(C401,Merchants!$A$2:$D$41,3,FALSE),"Merchant not found")</f>
        <v/>
      </c>
      <c r="K401" s="2">
        <f>IFERROR(VLOOKUP(C401,Merchants!$A$2:$D$41,4,FALSE),"Merchant not found")</f>
        <v/>
      </c>
      <c r="L401" s="2">
        <f>IFERROR(HLOOKUP(F401,Fee_Tiers!$B$4:$E$5,2,FALSE),0)</f>
        <v/>
      </c>
      <c r="M401" s="2">
        <f>IF(AND(E401&gt;500,K401&lt;&gt;"East"),"High-Value Merchant Day",IF(AND(E401&gt;500,K401="East"),"High-Value East (Excluded)",IF(E401&lt;=500,"Standard","Unknown")))</f>
        <v/>
      </c>
    </row>
    <row r="402">
      <c r="A402" s="2" t="inlineStr">
        <is>
          <t>TXN100400</t>
        </is>
      </c>
      <c r="B402" s="2" t="n">
        <v>6</v>
      </c>
      <c r="C402" s="2" t="n">
        <v>17</v>
      </c>
      <c r="D402" s="2" t="inlineStr">
        <is>
          <t>2026-01-19 23:36:00</t>
        </is>
      </c>
      <c r="E402" s="2" t="n">
        <v>49</v>
      </c>
      <c r="F402" s="2" t="inlineStr">
        <is>
          <t>UPI</t>
        </is>
      </c>
      <c r="G402" s="2" t="inlineStr">
        <is>
          <t>captured</t>
        </is>
      </c>
      <c r="H402" s="2" t="n">
        <v>83</v>
      </c>
      <c r="I402" s="2">
        <f>IFERROR(VLOOKUP(C402,Merchants!$A$2:$D$41,2,FALSE),"Merchant not found")</f>
        <v/>
      </c>
      <c r="J402" s="2">
        <f>IFERROR(VLOOKUP(C402,Merchants!$A$2:$D$41,3,FALSE),"Merchant not found")</f>
        <v/>
      </c>
      <c r="K402" s="2">
        <f>IFERROR(VLOOKUP(C402,Merchants!$A$2:$D$41,4,FALSE),"Merchant not found")</f>
        <v/>
      </c>
      <c r="L402" s="2">
        <f>IFERROR(HLOOKUP(F402,Fee_Tiers!$B$4:$E$5,2,FALSE),0)</f>
        <v/>
      </c>
      <c r="M402" s="2">
        <f>IF(AND(E402&gt;500,K402&lt;&gt;"East"),"High-Value Merchant Day",IF(AND(E402&gt;500,K402="East"),"High-Value East (Excluded)",IF(E402&lt;=500,"Standard","Unknown")))</f>
        <v/>
      </c>
    </row>
    <row r="403">
      <c r="A403" s="2" t="inlineStr">
        <is>
          <t>TXN100401</t>
        </is>
      </c>
      <c r="B403" s="2" t="n">
        <v>32</v>
      </c>
      <c r="C403" s="2" t="n">
        <v>8</v>
      </c>
      <c r="D403" s="2" t="inlineStr">
        <is>
          <t>2026-01-12 22:15:00</t>
        </is>
      </c>
      <c r="E403" s="2" t="n">
        <v>299</v>
      </c>
      <c r="F403" s="2" t="inlineStr">
        <is>
          <t>Card</t>
        </is>
      </c>
      <c r="G403" s="2" t="inlineStr">
        <is>
          <t>captured</t>
        </is>
      </c>
      <c r="H403" s="2" t="n">
        <v>59</v>
      </c>
      <c r="I403" s="2">
        <f>IFERROR(VLOOKUP(C403,Merchants!$A$2:$D$41,2,FALSE),"Merchant not found")</f>
        <v/>
      </c>
      <c r="J403" s="2">
        <f>IFERROR(VLOOKUP(C403,Merchants!$A$2:$D$41,3,FALSE),"Merchant not found")</f>
        <v/>
      </c>
      <c r="K403" s="2">
        <f>IFERROR(VLOOKUP(C403,Merchants!$A$2:$D$41,4,FALSE),"Merchant not found")</f>
        <v/>
      </c>
      <c r="L403" s="2">
        <f>IFERROR(HLOOKUP(F403,Fee_Tiers!$B$4:$E$5,2,FALSE),0)</f>
        <v/>
      </c>
      <c r="M403" s="2">
        <f>IF(AND(E403&gt;500,K403&lt;&gt;"East"),"High-Value Merchant Day",IF(AND(E403&gt;500,K403="East"),"High-Value East (Excluded)",IF(E403&lt;=500,"Standard","Unknown")))</f>
        <v/>
      </c>
    </row>
    <row r="404">
      <c r="A404" s="2" t="inlineStr">
        <is>
          <t>TXN100402</t>
        </is>
      </c>
      <c r="B404" s="2" t="n">
        <v>258</v>
      </c>
      <c r="C404" s="2" t="n">
        <v>20</v>
      </c>
      <c r="D404" s="2" t="inlineStr">
        <is>
          <t>2026-01-10 05:25:00</t>
        </is>
      </c>
      <c r="E404" s="2" t="n">
        <v>149</v>
      </c>
      <c r="F404" s="2" t="inlineStr">
        <is>
          <t>UPI</t>
        </is>
      </c>
      <c r="G404" s="2" t="inlineStr">
        <is>
          <t>captured</t>
        </is>
      </c>
      <c r="H404" s="2" t="n">
        <v>88</v>
      </c>
      <c r="I404" s="2">
        <f>IFERROR(VLOOKUP(C404,Merchants!$A$2:$D$41,2,FALSE),"Merchant not found")</f>
        <v/>
      </c>
      <c r="J404" s="2">
        <f>IFERROR(VLOOKUP(C404,Merchants!$A$2:$D$41,3,FALSE),"Merchant not found")</f>
        <v/>
      </c>
      <c r="K404" s="2">
        <f>IFERROR(VLOOKUP(C404,Merchants!$A$2:$D$41,4,FALSE),"Merchant not found")</f>
        <v/>
      </c>
      <c r="L404" s="2">
        <f>IFERROR(HLOOKUP(F404,Fee_Tiers!$B$4:$E$5,2,FALSE),0)</f>
        <v/>
      </c>
      <c r="M404" s="2">
        <f>IF(AND(E404&gt;500,K404&lt;&gt;"East"),"High-Value Merchant Day",IF(AND(E404&gt;500,K404="East"),"High-Value East (Excluded)",IF(E404&lt;=500,"Standard","Unknown")))</f>
        <v/>
      </c>
    </row>
    <row r="405">
      <c r="A405" s="2" t="inlineStr">
        <is>
          <t>TXN100403</t>
        </is>
      </c>
      <c r="B405" s="2" t="n">
        <v>152</v>
      </c>
      <c r="C405" s="2" t="n">
        <v>24</v>
      </c>
      <c r="D405" s="2" t="inlineStr">
        <is>
          <t>2026-01-04 20:58:00</t>
        </is>
      </c>
      <c r="E405" s="2" t="n">
        <v>149</v>
      </c>
      <c r="F405" s="2" t="inlineStr">
        <is>
          <t>UPI</t>
        </is>
      </c>
      <c r="G405" s="2" t="inlineStr">
        <is>
          <t>chargeback</t>
        </is>
      </c>
      <c r="H405" s="2" t="n">
        <v>78</v>
      </c>
      <c r="I405" s="2">
        <f>IFERROR(VLOOKUP(C405,Merchants!$A$2:$D$41,2,FALSE),"Merchant not found")</f>
        <v/>
      </c>
      <c r="J405" s="2">
        <f>IFERROR(VLOOKUP(C405,Merchants!$A$2:$D$41,3,FALSE),"Merchant not found")</f>
        <v/>
      </c>
      <c r="K405" s="2">
        <f>IFERROR(VLOOKUP(C405,Merchants!$A$2:$D$41,4,FALSE),"Merchant not found")</f>
        <v/>
      </c>
      <c r="L405" s="2">
        <f>IFERROR(HLOOKUP(F405,Fee_Tiers!$B$4:$E$5,2,FALSE),0)</f>
        <v/>
      </c>
      <c r="M405" s="2">
        <f>IF(AND(E405&gt;500,K405&lt;&gt;"East"),"High-Value Merchant Day",IF(AND(E405&gt;500,K405="East"),"High-Value East (Excluded)",IF(E405&lt;=500,"Standard","Unknown")))</f>
        <v/>
      </c>
    </row>
    <row r="406">
      <c r="A406" s="2" t="inlineStr">
        <is>
          <t>TXN100404</t>
        </is>
      </c>
      <c r="B406" s="2" t="n">
        <v>245</v>
      </c>
      <c r="C406" s="2" t="n">
        <v>10</v>
      </c>
      <c r="D406" s="2" t="inlineStr">
        <is>
          <t>2026-01-08 07:08:00</t>
        </is>
      </c>
      <c r="E406" s="2" t="n">
        <v>799</v>
      </c>
      <c r="F406" s="2" t="inlineStr">
        <is>
          <t>Wallet</t>
        </is>
      </c>
      <c r="G406" s="2" t="inlineStr">
        <is>
          <t>captured</t>
        </is>
      </c>
      <c r="H406" s="2" t="n">
        <v>58</v>
      </c>
      <c r="I406" s="2">
        <f>IFERROR(VLOOKUP(C406,Merchants!$A$2:$D$41,2,FALSE),"Merchant not found")</f>
        <v/>
      </c>
      <c r="J406" s="2">
        <f>IFERROR(VLOOKUP(C406,Merchants!$A$2:$D$41,3,FALSE),"Merchant not found")</f>
        <v/>
      </c>
      <c r="K406" s="2">
        <f>IFERROR(VLOOKUP(C406,Merchants!$A$2:$D$41,4,FALSE),"Merchant not found")</f>
        <v/>
      </c>
      <c r="L406" s="2">
        <f>IFERROR(HLOOKUP(F406,Fee_Tiers!$B$4:$E$5,2,FALSE),0)</f>
        <v/>
      </c>
      <c r="M406" s="2">
        <f>IF(AND(E406&gt;500,K406&lt;&gt;"East"),"High-Value Merchant Day",IF(AND(E406&gt;500,K406="East"),"High-Value East (Excluded)",IF(E406&lt;=500,"Standard","Unknown")))</f>
        <v/>
      </c>
    </row>
    <row r="407">
      <c r="A407" s="2" t="inlineStr">
        <is>
          <t>TXN100405</t>
        </is>
      </c>
      <c r="B407" s="2" t="n">
        <v>213</v>
      </c>
      <c r="C407" s="2" t="n">
        <v>36</v>
      </c>
      <c r="D407" s="2" t="inlineStr">
        <is>
          <t>2026-01-24 19:23:00</t>
        </is>
      </c>
      <c r="E407" s="2" t="n">
        <v>49</v>
      </c>
      <c r="F407" s="2" t="inlineStr">
        <is>
          <t>Wallet</t>
        </is>
      </c>
      <c r="G407" s="2" t="inlineStr">
        <is>
          <t>captured</t>
        </is>
      </c>
      <c r="H407" s="2" t="n">
        <v>60</v>
      </c>
      <c r="I407" s="2">
        <f>IFERROR(VLOOKUP(C407,Merchants!$A$2:$D$41,2,FALSE),"Merchant not found")</f>
        <v/>
      </c>
      <c r="J407" s="2">
        <f>IFERROR(VLOOKUP(C407,Merchants!$A$2:$D$41,3,FALSE),"Merchant not found")</f>
        <v/>
      </c>
      <c r="K407" s="2">
        <f>IFERROR(VLOOKUP(C407,Merchants!$A$2:$D$41,4,FALSE),"Merchant not found")</f>
        <v/>
      </c>
      <c r="L407" s="2">
        <f>IFERROR(HLOOKUP(F407,Fee_Tiers!$B$4:$E$5,2,FALSE),0)</f>
        <v/>
      </c>
      <c r="M407" s="2">
        <f>IF(AND(E407&gt;500,K407&lt;&gt;"East"),"High-Value Merchant Day",IF(AND(E407&gt;500,K407="East"),"High-Value East (Excluded)",IF(E407&lt;=500,"Standard","Unknown")))</f>
        <v/>
      </c>
    </row>
    <row r="408">
      <c r="A408" s="2" t="inlineStr">
        <is>
          <t>TXN100406</t>
        </is>
      </c>
      <c r="B408" s="2" t="n">
        <v>341</v>
      </c>
      <c r="C408" s="2" t="n">
        <v>14</v>
      </c>
      <c r="D408" s="2" t="inlineStr">
        <is>
          <t>2026-01-25 17:51:00</t>
        </is>
      </c>
      <c r="E408" s="2" t="n">
        <v>99</v>
      </c>
      <c r="F408" s="2" t="inlineStr">
        <is>
          <t>Netbanking</t>
        </is>
      </c>
      <c r="G408" s="2" t="inlineStr">
        <is>
          <t>captured</t>
        </is>
      </c>
      <c r="H408" s="2" t="n">
        <v>97</v>
      </c>
      <c r="I408" s="2">
        <f>IFERROR(VLOOKUP(C408,Merchants!$A$2:$D$41,2,FALSE),"Merchant not found")</f>
        <v/>
      </c>
      <c r="J408" s="2">
        <f>IFERROR(VLOOKUP(C408,Merchants!$A$2:$D$41,3,FALSE),"Merchant not found")</f>
        <v/>
      </c>
      <c r="K408" s="2">
        <f>IFERROR(VLOOKUP(C408,Merchants!$A$2:$D$41,4,FALSE),"Merchant not found")</f>
        <v/>
      </c>
      <c r="L408" s="2">
        <f>IFERROR(HLOOKUP(F408,Fee_Tiers!$B$4:$E$5,2,FALSE),0)</f>
        <v/>
      </c>
      <c r="M408" s="2">
        <f>IF(AND(E408&gt;500,K408&lt;&gt;"East"),"High-Value Merchant Day",IF(AND(E408&gt;500,K408="East"),"High-Value East (Excluded)",IF(E408&lt;=500,"Standard","Unknown")))</f>
        <v/>
      </c>
    </row>
    <row r="409">
      <c r="A409" s="2" t="inlineStr">
        <is>
          <t>TXN100407</t>
        </is>
      </c>
      <c r="B409" s="2" t="n">
        <v>306</v>
      </c>
      <c r="C409" s="2" t="n">
        <v>6</v>
      </c>
      <c r="D409" s="2" t="inlineStr">
        <is>
          <t>2026-01-08 21:48:00</t>
        </is>
      </c>
      <c r="E409" s="2" t="n">
        <v>149</v>
      </c>
      <c r="F409" s="2" t="inlineStr">
        <is>
          <t>Netbanking</t>
        </is>
      </c>
      <c r="G409" s="2" t="inlineStr">
        <is>
          <t>captured</t>
        </is>
      </c>
      <c r="H409" s="2" t="n">
        <v>67</v>
      </c>
      <c r="I409" s="2">
        <f>IFERROR(VLOOKUP(C409,Merchants!$A$2:$D$41,2,FALSE),"Merchant not found")</f>
        <v/>
      </c>
      <c r="J409" s="2">
        <f>IFERROR(VLOOKUP(C409,Merchants!$A$2:$D$41,3,FALSE),"Merchant not found")</f>
        <v/>
      </c>
      <c r="K409" s="2">
        <f>IFERROR(VLOOKUP(C409,Merchants!$A$2:$D$41,4,FALSE),"Merchant not found")</f>
        <v/>
      </c>
      <c r="L409" s="2">
        <f>IFERROR(HLOOKUP(F409,Fee_Tiers!$B$4:$E$5,2,FALSE),0)</f>
        <v/>
      </c>
      <c r="M409" s="2">
        <f>IF(AND(E409&gt;500,K409&lt;&gt;"East"),"High-Value Merchant Day",IF(AND(E409&gt;500,K409="East"),"High-Value East (Excluded)",IF(E409&lt;=500,"Standard","Unknown")))</f>
        <v/>
      </c>
    </row>
    <row r="410">
      <c r="A410" s="2" t="inlineStr">
        <is>
          <t>TXN100408</t>
        </is>
      </c>
      <c r="B410" s="2" t="n">
        <v>186</v>
      </c>
      <c r="C410" s="2" t="n">
        <v>5</v>
      </c>
      <c r="D410" s="2" t="inlineStr">
        <is>
          <t>2026-01-15 16:45:00</t>
        </is>
      </c>
      <c r="E410" s="2" t="n">
        <v>499</v>
      </c>
      <c r="F410" s="2" t="inlineStr">
        <is>
          <t>UPI</t>
        </is>
      </c>
      <c r="G410" s="2" t="inlineStr">
        <is>
          <t>captured</t>
        </is>
      </c>
      <c r="H410" s="2" t="n">
        <v>72</v>
      </c>
      <c r="I410" s="2">
        <f>IFERROR(VLOOKUP(C410,Merchants!$A$2:$D$41,2,FALSE),"Merchant not found")</f>
        <v/>
      </c>
      <c r="J410" s="2">
        <f>IFERROR(VLOOKUP(C410,Merchants!$A$2:$D$41,3,FALSE),"Merchant not found")</f>
        <v/>
      </c>
      <c r="K410" s="2">
        <f>IFERROR(VLOOKUP(C410,Merchants!$A$2:$D$41,4,FALSE),"Merchant not found")</f>
        <v/>
      </c>
      <c r="L410" s="2">
        <f>IFERROR(HLOOKUP(F410,Fee_Tiers!$B$4:$E$5,2,FALSE),0)</f>
        <v/>
      </c>
      <c r="M410" s="2">
        <f>IF(AND(E410&gt;500,K410&lt;&gt;"East"),"High-Value Merchant Day",IF(AND(E410&gt;500,K410="East"),"High-Value East (Excluded)",IF(E410&lt;=500,"Standard","Unknown")))</f>
        <v/>
      </c>
    </row>
    <row r="411">
      <c r="A411" s="2" t="inlineStr">
        <is>
          <t>TXN100409</t>
        </is>
      </c>
      <c r="B411" s="2" t="n">
        <v>281</v>
      </c>
      <c r="C411" s="2" t="n">
        <v>33</v>
      </c>
      <c r="D411" s="2" t="inlineStr">
        <is>
          <t>2026-01-04 01:53:00</t>
        </is>
      </c>
      <c r="E411" s="2" t="n">
        <v>4999</v>
      </c>
      <c r="F411" s="2" t="inlineStr">
        <is>
          <t>UPI</t>
        </is>
      </c>
      <c r="G411" s="2" t="inlineStr">
        <is>
          <t>captured</t>
        </is>
      </c>
      <c r="H411" s="2" t="n">
        <v>25</v>
      </c>
      <c r="I411" s="2">
        <f>IFERROR(VLOOKUP(C411,Merchants!$A$2:$D$41,2,FALSE),"Merchant not found")</f>
        <v/>
      </c>
      <c r="J411" s="2">
        <f>IFERROR(VLOOKUP(C411,Merchants!$A$2:$D$41,3,FALSE),"Merchant not found")</f>
        <v/>
      </c>
      <c r="K411" s="2">
        <f>IFERROR(VLOOKUP(C411,Merchants!$A$2:$D$41,4,FALSE),"Merchant not found")</f>
        <v/>
      </c>
      <c r="L411" s="2">
        <f>IFERROR(HLOOKUP(F411,Fee_Tiers!$B$4:$E$5,2,FALSE),0)</f>
        <v/>
      </c>
      <c r="M411" s="2">
        <f>IF(AND(E411&gt;500,K411&lt;&gt;"East"),"High-Value Merchant Day",IF(AND(E411&gt;500,K411="East"),"High-Value East (Excluded)",IF(E411&lt;=500,"Standard","Unknown")))</f>
        <v/>
      </c>
    </row>
    <row r="412">
      <c r="A412" s="2" t="inlineStr">
        <is>
          <t>TXN100410</t>
        </is>
      </c>
      <c r="B412" s="2" t="n">
        <v>85</v>
      </c>
      <c r="C412" s="2" t="n">
        <v>21</v>
      </c>
      <c r="D412" s="2" t="inlineStr">
        <is>
          <t>2026-01-19 17:09:00</t>
        </is>
      </c>
      <c r="E412" s="2" t="n">
        <v>99</v>
      </c>
      <c r="F412" s="2" t="inlineStr">
        <is>
          <t>UPI</t>
        </is>
      </c>
      <c r="G412" s="2" t="inlineStr">
        <is>
          <t>captured</t>
        </is>
      </c>
      <c r="H412" s="2" t="n">
        <v>66</v>
      </c>
      <c r="I412" s="2">
        <f>IFERROR(VLOOKUP(C412,Merchants!$A$2:$D$41,2,FALSE),"Merchant not found")</f>
        <v/>
      </c>
      <c r="J412" s="2">
        <f>IFERROR(VLOOKUP(C412,Merchants!$A$2:$D$41,3,FALSE),"Merchant not found")</f>
        <v/>
      </c>
      <c r="K412" s="2">
        <f>IFERROR(VLOOKUP(C412,Merchants!$A$2:$D$41,4,FALSE),"Merchant not found")</f>
        <v/>
      </c>
      <c r="L412" s="2">
        <f>IFERROR(HLOOKUP(F412,Fee_Tiers!$B$4:$E$5,2,FALSE),0)</f>
        <v/>
      </c>
      <c r="M412" s="2">
        <f>IF(AND(E412&gt;500,K412&lt;&gt;"East"),"High-Value Merchant Day",IF(AND(E412&gt;500,K412="East"),"High-Value East (Excluded)",IF(E412&lt;=500,"Standard","Unknown")))</f>
        <v/>
      </c>
    </row>
    <row r="413">
      <c r="A413" s="2" t="inlineStr">
        <is>
          <t>TXN100411</t>
        </is>
      </c>
      <c r="B413" s="2" t="n">
        <v>106</v>
      </c>
      <c r="C413" s="2" t="n">
        <v>38</v>
      </c>
      <c r="D413" s="2" t="inlineStr">
        <is>
          <t>2026-01-15 03:43:00</t>
        </is>
      </c>
      <c r="E413" s="2" t="n">
        <v>499</v>
      </c>
      <c r="F413" s="2" t="inlineStr">
        <is>
          <t>UPI</t>
        </is>
      </c>
      <c r="G413" s="2" t="inlineStr">
        <is>
          <t>captured</t>
        </is>
      </c>
      <c r="H413" s="2" t="n">
        <v>62</v>
      </c>
      <c r="I413" s="2">
        <f>IFERROR(VLOOKUP(C413,Merchants!$A$2:$D$41,2,FALSE),"Merchant not found")</f>
        <v/>
      </c>
      <c r="J413" s="2">
        <f>IFERROR(VLOOKUP(C413,Merchants!$A$2:$D$41,3,FALSE),"Merchant not found")</f>
        <v/>
      </c>
      <c r="K413" s="2">
        <f>IFERROR(VLOOKUP(C413,Merchants!$A$2:$D$41,4,FALSE),"Merchant not found")</f>
        <v/>
      </c>
      <c r="L413" s="2">
        <f>IFERROR(HLOOKUP(F413,Fee_Tiers!$B$4:$E$5,2,FALSE),0)</f>
        <v/>
      </c>
      <c r="M413" s="2">
        <f>IF(AND(E413&gt;500,K413&lt;&gt;"East"),"High-Value Merchant Day",IF(AND(E413&gt;500,K413="East"),"High-Value East (Excluded)",IF(E413&lt;=500,"Standard","Unknown")))</f>
        <v/>
      </c>
    </row>
    <row r="414">
      <c r="A414" s="2" t="inlineStr">
        <is>
          <t>TXN100412</t>
        </is>
      </c>
      <c r="B414" s="2" t="n">
        <v>29</v>
      </c>
      <c r="C414" s="2" t="n">
        <v>30</v>
      </c>
      <c r="D414" s="2" t="inlineStr">
        <is>
          <t>2026-01-03 16:28:00</t>
        </is>
      </c>
      <c r="E414" s="2" t="n">
        <v>149</v>
      </c>
      <c r="F414" s="2" t="inlineStr">
        <is>
          <t>Netbanking</t>
        </is>
      </c>
      <c r="G414" s="2" t="inlineStr">
        <is>
          <t>captured</t>
        </is>
      </c>
      <c r="H414" s="2" t="n">
        <v>16</v>
      </c>
      <c r="I414" s="2">
        <f>IFERROR(VLOOKUP(C414,Merchants!$A$2:$D$41,2,FALSE),"Merchant not found")</f>
        <v/>
      </c>
      <c r="J414" s="2">
        <f>IFERROR(VLOOKUP(C414,Merchants!$A$2:$D$41,3,FALSE),"Merchant not found")</f>
        <v/>
      </c>
      <c r="K414" s="2">
        <f>IFERROR(VLOOKUP(C414,Merchants!$A$2:$D$41,4,FALSE),"Merchant not found")</f>
        <v/>
      </c>
      <c r="L414" s="2">
        <f>IFERROR(HLOOKUP(F414,Fee_Tiers!$B$4:$E$5,2,FALSE),0)</f>
        <v/>
      </c>
      <c r="M414" s="2">
        <f>IF(AND(E414&gt;500,K414&lt;&gt;"East"),"High-Value Merchant Day",IF(AND(E414&gt;500,K414="East"),"High-Value East (Excluded)",IF(E414&lt;=500,"Standard","Unknown")))</f>
        <v/>
      </c>
    </row>
    <row r="415">
      <c r="A415" s="2" t="inlineStr">
        <is>
          <t>TXN100413</t>
        </is>
      </c>
      <c r="B415" s="2" t="n">
        <v>289</v>
      </c>
      <c r="C415" s="2" t="n">
        <v>4</v>
      </c>
      <c r="D415" s="2" t="inlineStr">
        <is>
          <t>2026-01-17 13:29:00</t>
        </is>
      </c>
      <c r="E415" s="2" t="n">
        <v>1499</v>
      </c>
      <c r="F415" s="2" t="inlineStr">
        <is>
          <t>Card</t>
        </is>
      </c>
      <c r="G415" s="2" t="inlineStr">
        <is>
          <t>captured</t>
        </is>
      </c>
      <c r="H415" s="2" t="n">
        <v>71</v>
      </c>
      <c r="I415" s="2">
        <f>IFERROR(VLOOKUP(C415,Merchants!$A$2:$D$41,2,FALSE),"Merchant not found")</f>
        <v/>
      </c>
      <c r="J415" s="2">
        <f>IFERROR(VLOOKUP(C415,Merchants!$A$2:$D$41,3,FALSE),"Merchant not found")</f>
        <v/>
      </c>
      <c r="K415" s="2">
        <f>IFERROR(VLOOKUP(C415,Merchants!$A$2:$D$41,4,FALSE),"Merchant not found")</f>
        <v/>
      </c>
      <c r="L415" s="2">
        <f>IFERROR(HLOOKUP(F415,Fee_Tiers!$B$4:$E$5,2,FALSE),0)</f>
        <v/>
      </c>
      <c r="M415" s="2">
        <f>IF(AND(E415&gt;500,K415&lt;&gt;"East"),"High-Value Merchant Day",IF(AND(E415&gt;500,K415="East"),"High-Value East (Excluded)",IF(E415&lt;=500,"Standard","Unknown")))</f>
        <v/>
      </c>
    </row>
    <row r="416">
      <c r="A416" s="2" t="inlineStr">
        <is>
          <t>TXN100414</t>
        </is>
      </c>
      <c r="B416" s="2" t="n">
        <v>158</v>
      </c>
      <c r="C416" s="2" t="n">
        <v>2</v>
      </c>
      <c r="D416" s="2" t="inlineStr">
        <is>
          <t>2026-01-15 21:51:00</t>
        </is>
      </c>
      <c r="E416" s="2" t="n">
        <v>1499</v>
      </c>
      <c r="F416" s="2" t="inlineStr">
        <is>
          <t>Card</t>
        </is>
      </c>
      <c r="G416" s="2" t="inlineStr">
        <is>
          <t>captured</t>
        </is>
      </c>
      <c r="H416" s="2" t="n">
        <v>50</v>
      </c>
      <c r="I416" s="2">
        <f>IFERROR(VLOOKUP(C416,Merchants!$A$2:$D$41,2,FALSE),"Merchant not found")</f>
        <v/>
      </c>
      <c r="J416" s="2">
        <f>IFERROR(VLOOKUP(C416,Merchants!$A$2:$D$41,3,FALSE),"Merchant not found")</f>
        <v/>
      </c>
      <c r="K416" s="2">
        <f>IFERROR(VLOOKUP(C416,Merchants!$A$2:$D$41,4,FALSE),"Merchant not found")</f>
        <v/>
      </c>
      <c r="L416" s="2">
        <f>IFERROR(HLOOKUP(F416,Fee_Tiers!$B$4:$E$5,2,FALSE),0)</f>
        <v/>
      </c>
      <c r="M416" s="2">
        <f>IF(AND(E416&gt;500,K416&lt;&gt;"East"),"High-Value Merchant Day",IF(AND(E416&gt;500,K416="East"),"High-Value East (Excluded)",IF(E416&lt;=500,"Standard","Unknown")))</f>
        <v/>
      </c>
    </row>
    <row r="417">
      <c r="A417" s="2" t="inlineStr">
        <is>
          <t>TXN100415</t>
        </is>
      </c>
      <c r="B417" s="2" t="n">
        <v>112</v>
      </c>
      <c r="C417" s="2" t="n">
        <v>38</v>
      </c>
      <c r="D417" s="2" t="inlineStr">
        <is>
          <t>2026-01-09 00:47:00</t>
        </is>
      </c>
      <c r="E417" s="2" t="n">
        <v>49</v>
      </c>
      <c r="F417" s="2" t="inlineStr">
        <is>
          <t>UPI</t>
        </is>
      </c>
      <c r="G417" s="2" t="inlineStr">
        <is>
          <t>captured</t>
        </is>
      </c>
      <c r="H417" s="2" t="n">
        <v>9</v>
      </c>
      <c r="I417" s="2">
        <f>IFERROR(VLOOKUP(C417,Merchants!$A$2:$D$41,2,FALSE),"Merchant not found")</f>
        <v/>
      </c>
      <c r="J417" s="2">
        <f>IFERROR(VLOOKUP(C417,Merchants!$A$2:$D$41,3,FALSE),"Merchant not found")</f>
        <v/>
      </c>
      <c r="K417" s="2">
        <f>IFERROR(VLOOKUP(C417,Merchants!$A$2:$D$41,4,FALSE),"Merchant not found")</f>
        <v/>
      </c>
      <c r="L417" s="2">
        <f>IFERROR(HLOOKUP(F417,Fee_Tiers!$B$4:$E$5,2,FALSE),0)</f>
        <v/>
      </c>
      <c r="M417" s="2">
        <f>IF(AND(E417&gt;500,K417&lt;&gt;"East"),"High-Value Merchant Day",IF(AND(E417&gt;500,K417="East"),"High-Value East (Excluded)",IF(E417&lt;=500,"Standard","Unknown")))</f>
        <v/>
      </c>
    </row>
    <row r="418">
      <c r="A418" s="2" t="inlineStr">
        <is>
          <t>TXN100416</t>
        </is>
      </c>
      <c r="B418" s="2" t="n">
        <v>33</v>
      </c>
      <c r="C418" s="2" t="n">
        <v>35</v>
      </c>
      <c r="D418" s="2" t="inlineStr">
        <is>
          <t>2026-01-02 13:22:00</t>
        </is>
      </c>
      <c r="E418" s="2" t="n">
        <v>299</v>
      </c>
      <c r="F418" s="2" t="inlineStr">
        <is>
          <t>Card</t>
        </is>
      </c>
      <c r="G418" s="2" t="inlineStr">
        <is>
          <t>failed</t>
        </is>
      </c>
      <c r="H418" s="2" t="n">
        <v>7</v>
      </c>
      <c r="I418" s="2">
        <f>IFERROR(VLOOKUP(C418,Merchants!$A$2:$D$41,2,FALSE),"Merchant not found")</f>
        <v/>
      </c>
      <c r="J418" s="2">
        <f>IFERROR(VLOOKUP(C418,Merchants!$A$2:$D$41,3,FALSE),"Merchant not found")</f>
        <v/>
      </c>
      <c r="K418" s="2">
        <f>IFERROR(VLOOKUP(C418,Merchants!$A$2:$D$41,4,FALSE),"Merchant not found")</f>
        <v/>
      </c>
      <c r="L418" s="2">
        <f>IFERROR(HLOOKUP(F418,Fee_Tiers!$B$4:$E$5,2,FALSE),0)</f>
        <v/>
      </c>
      <c r="M418" s="2">
        <f>IF(AND(E418&gt;500,K418&lt;&gt;"East"),"High-Value Merchant Day",IF(AND(E418&gt;500,K418="East"),"High-Value East (Excluded)",IF(E418&lt;=500,"Standard","Unknown")))</f>
        <v/>
      </c>
    </row>
    <row r="419">
      <c r="A419" s="2" t="inlineStr">
        <is>
          <t>TXN100417</t>
        </is>
      </c>
      <c r="B419" s="2" t="n">
        <v>242</v>
      </c>
      <c r="C419" s="2" t="n">
        <v>3</v>
      </c>
      <c r="D419" s="2" t="inlineStr">
        <is>
          <t>2026-01-30 02:59:00</t>
        </is>
      </c>
      <c r="E419" s="2" t="n">
        <v>49</v>
      </c>
      <c r="F419" s="2" t="inlineStr">
        <is>
          <t>UPI</t>
        </is>
      </c>
      <c r="G419" s="2" t="inlineStr">
        <is>
          <t>captured</t>
        </is>
      </c>
      <c r="H419" s="2" t="n">
        <v>36</v>
      </c>
      <c r="I419" s="2">
        <f>IFERROR(VLOOKUP(C419,Merchants!$A$2:$D$41,2,FALSE),"Merchant not found")</f>
        <v/>
      </c>
      <c r="J419" s="2">
        <f>IFERROR(VLOOKUP(C419,Merchants!$A$2:$D$41,3,FALSE),"Merchant not found")</f>
        <v/>
      </c>
      <c r="K419" s="2">
        <f>IFERROR(VLOOKUP(C419,Merchants!$A$2:$D$41,4,FALSE),"Merchant not found")</f>
        <v/>
      </c>
      <c r="L419" s="2">
        <f>IFERROR(HLOOKUP(F419,Fee_Tiers!$B$4:$E$5,2,FALSE),0)</f>
        <v/>
      </c>
      <c r="M419" s="2">
        <f>IF(AND(E419&gt;500,K419&lt;&gt;"East"),"High-Value Merchant Day",IF(AND(E419&gt;500,K419="East"),"High-Value East (Excluded)",IF(E419&lt;=500,"Standard","Unknown")))</f>
        <v/>
      </c>
    </row>
    <row r="420">
      <c r="A420" s="2" t="inlineStr">
        <is>
          <t>TXN100418</t>
        </is>
      </c>
      <c r="B420" s="2" t="n">
        <v>70</v>
      </c>
      <c r="C420" s="2" t="n">
        <v>27</v>
      </c>
      <c r="D420" s="2" t="inlineStr">
        <is>
          <t>2026-01-14 05:49:00</t>
        </is>
      </c>
      <c r="E420" s="2" t="n">
        <v>149</v>
      </c>
      <c r="F420" s="2" t="inlineStr">
        <is>
          <t>UPI</t>
        </is>
      </c>
      <c r="G420" s="2" t="inlineStr">
        <is>
          <t>captured</t>
        </is>
      </c>
      <c r="H420" s="2" t="n">
        <v>47</v>
      </c>
      <c r="I420" s="2">
        <f>IFERROR(VLOOKUP(C420,Merchants!$A$2:$D$41,2,FALSE),"Merchant not found")</f>
        <v/>
      </c>
      <c r="J420" s="2">
        <f>IFERROR(VLOOKUP(C420,Merchants!$A$2:$D$41,3,FALSE),"Merchant not found")</f>
        <v/>
      </c>
      <c r="K420" s="2">
        <f>IFERROR(VLOOKUP(C420,Merchants!$A$2:$D$41,4,FALSE),"Merchant not found")</f>
        <v/>
      </c>
      <c r="L420" s="2">
        <f>IFERROR(HLOOKUP(F420,Fee_Tiers!$B$4:$E$5,2,FALSE),0)</f>
        <v/>
      </c>
      <c r="M420" s="2">
        <f>IF(AND(E420&gt;500,K420&lt;&gt;"East"),"High-Value Merchant Day",IF(AND(E420&gt;500,K420="East"),"High-Value East (Excluded)",IF(E420&lt;=500,"Standard","Unknown")))</f>
        <v/>
      </c>
    </row>
    <row r="421">
      <c r="A421" s="2" t="inlineStr">
        <is>
          <t>TXN100419</t>
        </is>
      </c>
      <c r="B421" s="2" t="n">
        <v>194</v>
      </c>
      <c r="C421" s="2" t="n">
        <v>25</v>
      </c>
      <c r="D421" s="2" t="inlineStr">
        <is>
          <t>2026-01-29 12:28:00</t>
        </is>
      </c>
      <c r="E421" s="2" t="n">
        <v>49</v>
      </c>
      <c r="F421" s="2" t="inlineStr">
        <is>
          <t>Wallet</t>
        </is>
      </c>
      <c r="G421" s="2" t="inlineStr">
        <is>
          <t>captured</t>
        </is>
      </c>
      <c r="H421" s="2" t="n">
        <v>10</v>
      </c>
      <c r="I421" s="2">
        <f>IFERROR(VLOOKUP(C421,Merchants!$A$2:$D$41,2,FALSE),"Merchant not found")</f>
        <v/>
      </c>
      <c r="J421" s="2">
        <f>IFERROR(VLOOKUP(C421,Merchants!$A$2:$D$41,3,FALSE),"Merchant not found")</f>
        <v/>
      </c>
      <c r="K421" s="2">
        <f>IFERROR(VLOOKUP(C421,Merchants!$A$2:$D$41,4,FALSE),"Merchant not found")</f>
        <v/>
      </c>
      <c r="L421" s="2">
        <f>IFERROR(HLOOKUP(F421,Fee_Tiers!$B$4:$E$5,2,FALSE),0)</f>
        <v/>
      </c>
      <c r="M421" s="2">
        <f>IF(AND(E421&gt;500,K421&lt;&gt;"East"),"High-Value Merchant Day",IF(AND(E421&gt;500,K421="East"),"High-Value East (Excluded)",IF(E421&lt;=500,"Standard","Unknown")))</f>
        <v/>
      </c>
    </row>
    <row r="422">
      <c r="A422" s="2" t="inlineStr">
        <is>
          <t>TXN100420</t>
        </is>
      </c>
      <c r="B422" s="2" t="n">
        <v>277</v>
      </c>
      <c r="C422" s="2" t="n">
        <v>9</v>
      </c>
      <c r="D422" s="2" t="inlineStr">
        <is>
          <t>2026-01-22 21:55:00</t>
        </is>
      </c>
      <c r="E422" s="2" t="n">
        <v>799</v>
      </c>
      <c r="F422" s="2" t="inlineStr">
        <is>
          <t>UPI</t>
        </is>
      </c>
      <c r="G422" s="2" t="inlineStr">
        <is>
          <t>captured</t>
        </is>
      </c>
      <c r="H422" s="2" t="n">
        <v>83</v>
      </c>
      <c r="I422" s="2">
        <f>IFERROR(VLOOKUP(C422,Merchants!$A$2:$D$41,2,FALSE),"Merchant not found")</f>
        <v/>
      </c>
      <c r="J422" s="2">
        <f>IFERROR(VLOOKUP(C422,Merchants!$A$2:$D$41,3,FALSE),"Merchant not found")</f>
        <v/>
      </c>
      <c r="K422" s="2">
        <f>IFERROR(VLOOKUP(C422,Merchants!$A$2:$D$41,4,FALSE),"Merchant not found")</f>
        <v/>
      </c>
      <c r="L422" s="2">
        <f>IFERROR(HLOOKUP(F422,Fee_Tiers!$B$4:$E$5,2,FALSE),0)</f>
        <v/>
      </c>
      <c r="M422" s="2">
        <f>IF(AND(E422&gt;500,K422&lt;&gt;"East"),"High-Value Merchant Day",IF(AND(E422&gt;500,K422="East"),"High-Value East (Excluded)",IF(E422&lt;=500,"Standard","Unknown")))</f>
        <v/>
      </c>
    </row>
    <row r="423">
      <c r="A423" s="2" t="inlineStr">
        <is>
          <t>TXN100421</t>
        </is>
      </c>
      <c r="B423" s="2" t="n">
        <v>92</v>
      </c>
      <c r="C423" s="2" t="n">
        <v>35</v>
      </c>
      <c r="D423" s="2" t="inlineStr">
        <is>
          <t>2026-01-28 11:07:00</t>
        </is>
      </c>
      <c r="E423" s="2" t="n">
        <v>49</v>
      </c>
      <c r="F423" s="2" t="inlineStr">
        <is>
          <t>UPI</t>
        </is>
      </c>
      <c r="G423" s="2" t="inlineStr">
        <is>
          <t>captured</t>
        </is>
      </c>
      <c r="H423" s="2" t="n">
        <v>50</v>
      </c>
      <c r="I423" s="2">
        <f>IFERROR(VLOOKUP(C423,Merchants!$A$2:$D$41,2,FALSE),"Merchant not found")</f>
        <v/>
      </c>
      <c r="J423" s="2">
        <f>IFERROR(VLOOKUP(C423,Merchants!$A$2:$D$41,3,FALSE),"Merchant not found")</f>
        <v/>
      </c>
      <c r="K423" s="2">
        <f>IFERROR(VLOOKUP(C423,Merchants!$A$2:$D$41,4,FALSE),"Merchant not found")</f>
        <v/>
      </c>
      <c r="L423" s="2">
        <f>IFERROR(HLOOKUP(F423,Fee_Tiers!$B$4:$E$5,2,FALSE),0)</f>
        <v/>
      </c>
      <c r="M423" s="2">
        <f>IF(AND(E423&gt;500,K423&lt;&gt;"East"),"High-Value Merchant Day",IF(AND(E423&gt;500,K423="East"),"High-Value East (Excluded)",IF(E423&lt;=500,"Standard","Unknown")))</f>
        <v/>
      </c>
    </row>
    <row r="424">
      <c r="A424" s="2" t="inlineStr">
        <is>
          <t>TXN100422</t>
        </is>
      </c>
      <c r="B424" s="2" t="n">
        <v>115</v>
      </c>
      <c r="C424" s="2" t="n">
        <v>1</v>
      </c>
      <c r="D424" s="2" t="inlineStr">
        <is>
          <t>2026-01-17 04:46:00</t>
        </is>
      </c>
      <c r="E424" s="2" t="n">
        <v>149</v>
      </c>
      <c r="F424" s="2" t="inlineStr">
        <is>
          <t>Wallet</t>
        </is>
      </c>
      <c r="G424" s="2" t="inlineStr">
        <is>
          <t>captured</t>
        </is>
      </c>
      <c r="H424" s="2" t="n">
        <v>96</v>
      </c>
      <c r="I424" s="2">
        <f>IFERROR(VLOOKUP(C424,Merchants!$A$2:$D$41,2,FALSE),"Merchant not found")</f>
        <v/>
      </c>
      <c r="J424" s="2">
        <f>IFERROR(VLOOKUP(C424,Merchants!$A$2:$D$41,3,FALSE),"Merchant not found")</f>
        <v/>
      </c>
      <c r="K424" s="2">
        <f>IFERROR(VLOOKUP(C424,Merchants!$A$2:$D$41,4,FALSE),"Merchant not found")</f>
        <v/>
      </c>
      <c r="L424" s="2">
        <f>IFERROR(HLOOKUP(F424,Fee_Tiers!$B$4:$E$5,2,FALSE),0)</f>
        <v/>
      </c>
      <c r="M424" s="2">
        <f>IF(AND(E424&gt;500,K424&lt;&gt;"East"),"High-Value Merchant Day",IF(AND(E424&gt;500,K424="East"),"High-Value East (Excluded)",IF(E424&lt;=500,"Standard","Unknown")))</f>
        <v/>
      </c>
    </row>
    <row r="425">
      <c r="A425" s="2" t="inlineStr">
        <is>
          <t>TXN100423</t>
        </is>
      </c>
      <c r="B425" s="2" t="n">
        <v>345</v>
      </c>
      <c r="C425" s="2" t="n">
        <v>35</v>
      </c>
      <c r="D425" s="2" t="inlineStr">
        <is>
          <t>2026-01-01 09:29:00</t>
        </is>
      </c>
      <c r="E425" s="2" t="n">
        <v>499</v>
      </c>
      <c r="F425" s="2" t="inlineStr">
        <is>
          <t>Card</t>
        </is>
      </c>
      <c r="G425" s="2" t="inlineStr">
        <is>
          <t>captured</t>
        </is>
      </c>
      <c r="H425" s="2" t="n">
        <v>54</v>
      </c>
      <c r="I425" s="2">
        <f>IFERROR(VLOOKUP(C425,Merchants!$A$2:$D$41,2,FALSE),"Merchant not found")</f>
        <v/>
      </c>
      <c r="J425" s="2">
        <f>IFERROR(VLOOKUP(C425,Merchants!$A$2:$D$41,3,FALSE),"Merchant not found")</f>
        <v/>
      </c>
      <c r="K425" s="2">
        <f>IFERROR(VLOOKUP(C425,Merchants!$A$2:$D$41,4,FALSE),"Merchant not found")</f>
        <v/>
      </c>
      <c r="L425" s="2">
        <f>IFERROR(HLOOKUP(F425,Fee_Tiers!$B$4:$E$5,2,FALSE),0)</f>
        <v/>
      </c>
      <c r="M425" s="2">
        <f>IF(AND(E425&gt;500,K425&lt;&gt;"East"),"High-Value Merchant Day",IF(AND(E425&gt;500,K425="East"),"High-Value East (Excluded)",IF(E425&lt;=500,"Standard","Unknown")))</f>
        <v/>
      </c>
    </row>
    <row r="426">
      <c r="A426" s="2" t="inlineStr">
        <is>
          <t>TXN100424</t>
        </is>
      </c>
      <c r="B426" s="2" t="n">
        <v>118</v>
      </c>
      <c r="C426" s="2" t="n">
        <v>16</v>
      </c>
      <c r="D426" s="2" t="inlineStr">
        <is>
          <t>2026-01-18 12:52:00</t>
        </is>
      </c>
      <c r="E426" s="2" t="n">
        <v>49</v>
      </c>
      <c r="F426" s="2" t="inlineStr">
        <is>
          <t>UPI</t>
        </is>
      </c>
      <c r="G426" s="2" t="inlineStr">
        <is>
          <t>captured</t>
        </is>
      </c>
      <c r="H426" s="2" t="n">
        <v>58</v>
      </c>
      <c r="I426" s="2">
        <f>IFERROR(VLOOKUP(C426,Merchants!$A$2:$D$41,2,FALSE),"Merchant not found")</f>
        <v/>
      </c>
      <c r="J426" s="2">
        <f>IFERROR(VLOOKUP(C426,Merchants!$A$2:$D$41,3,FALSE),"Merchant not found")</f>
        <v/>
      </c>
      <c r="K426" s="2">
        <f>IFERROR(VLOOKUP(C426,Merchants!$A$2:$D$41,4,FALSE),"Merchant not found")</f>
        <v/>
      </c>
      <c r="L426" s="2">
        <f>IFERROR(HLOOKUP(F426,Fee_Tiers!$B$4:$E$5,2,FALSE),0)</f>
        <v/>
      </c>
      <c r="M426" s="2">
        <f>IF(AND(E426&gt;500,K426&lt;&gt;"East"),"High-Value Merchant Day",IF(AND(E426&gt;500,K426="East"),"High-Value East (Excluded)",IF(E426&lt;=500,"Standard","Unknown")))</f>
        <v/>
      </c>
    </row>
    <row r="427">
      <c r="A427" s="2" t="inlineStr">
        <is>
          <t>TXN100425</t>
        </is>
      </c>
      <c r="B427" s="2" t="n">
        <v>97</v>
      </c>
      <c r="C427" s="2" t="n">
        <v>8</v>
      </c>
      <c r="D427" s="2" t="inlineStr">
        <is>
          <t>2026-01-12 04:17:00</t>
        </is>
      </c>
      <c r="E427" s="2" t="n">
        <v>99</v>
      </c>
      <c r="F427" s="2" t="inlineStr">
        <is>
          <t>Netbanking</t>
        </is>
      </c>
      <c r="G427" s="2" t="inlineStr">
        <is>
          <t>captured</t>
        </is>
      </c>
      <c r="H427" s="2" t="n">
        <v>4</v>
      </c>
      <c r="I427" s="2">
        <f>IFERROR(VLOOKUP(C427,Merchants!$A$2:$D$41,2,FALSE),"Merchant not found")</f>
        <v/>
      </c>
      <c r="J427" s="2">
        <f>IFERROR(VLOOKUP(C427,Merchants!$A$2:$D$41,3,FALSE),"Merchant not found")</f>
        <v/>
      </c>
      <c r="K427" s="2">
        <f>IFERROR(VLOOKUP(C427,Merchants!$A$2:$D$41,4,FALSE),"Merchant not found")</f>
        <v/>
      </c>
      <c r="L427" s="2">
        <f>IFERROR(HLOOKUP(F427,Fee_Tiers!$B$4:$E$5,2,FALSE),0)</f>
        <v/>
      </c>
      <c r="M427" s="2">
        <f>IF(AND(E427&gt;500,K427&lt;&gt;"East"),"High-Value Merchant Day",IF(AND(E427&gt;500,K427="East"),"High-Value East (Excluded)",IF(E427&lt;=500,"Standard","Unknown")))</f>
        <v/>
      </c>
    </row>
    <row r="428">
      <c r="A428" s="2" t="inlineStr">
        <is>
          <t>TXN100426</t>
        </is>
      </c>
      <c r="B428" s="2" t="n">
        <v>315</v>
      </c>
      <c r="C428" s="2" t="n">
        <v>2</v>
      </c>
      <c r="D428" s="2" t="inlineStr">
        <is>
          <t>2026-01-26 21:26:00</t>
        </is>
      </c>
      <c r="E428" s="2" t="n">
        <v>299</v>
      </c>
      <c r="F428" s="2" t="inlineStr">
        <is>
          <t>Wallet</t>
        </is>
      </c>
      <c r="G428" s="2" t="inlineStr">
        <is>
          <t>captured</t>
        </is>
      </c>
      <c r="H428" s="2" t="n">
        <v>30</v>
      </c>
      <c r="I428" s="2">
        <f>IFERROR(VLOOKUP(C428,Merchants!$A$2:$D$41,2,FALSE),"Merchant not found")</f>
        <v/>
      </c>
      <c r="J428" s="2">
        <f>IFERROR(VLOOKUP(C428,Merchants!$A$2:$D$41,3,FALSE),"Merchant not found")</f>
        <v/>
      </c>
      <c r="K428" s="2">
        <f>IFERROR(VLOOKUP(C428,Merchants!$A$2:$D$41,4,FALSE),"Merchant not found")</f>
        <v/>
      </c>
      <c r="L428" s="2">
        <f>IFERROR(HLOOKUP(F428,Fee_Tiers!$B$4:$E$5,2,FALSE),0)</f>
        <v/>
      </c>
      <c r="M428" s="2">
        <f>IF(AND(E428&gt;500,K428&lt;&gt;"East"),"High-Value Merchant Day",IF(AND(E428&gt;500,K428="East"),"High-Value East (Excluded)",IF(E428&lt;=500,"Standard","Unknown")))</f>
        <v/>
      </c>
    </row>
    <row r="429">
      <c r="A429" s="2" t="inlineStr">
        <is>
          <t>TXN100427</t>
        </is>
      </c>
      <c r="B429" s="2" t="n">
        <v>305</v>
      </c>
      <c r="C429" s="2" t="n">
        <v>3</v>
      </c>
      <c r="D429" s="2" t="inlineStr">
        <is>
          <t>2026-01-07 02:06:00</t>
        </is>
      </c>
      <c r="E429" s="2" t="n">
        <v>299</v>
      </c>
      <c r="F429" s="2" t="inlineStr">
        <is>
          <t>UPI</t>
        </is>
      </c>
      <c r="G429" s="2" t="inlineStr">
        <is>
          <t>captured</t>
        </is>
      </c>
      <c r="H429" s="2" t="n">
        <v>57</v>
      </c>
      <c r="I429" s="2">
        <f>IFERROR(VLOOKUP(C429,Merchants!$A$2:$D$41,2,FALSE),"Merchant not found")</f>
        <v/>
      </c>
      <c r="J429" s="2">
        <f>IFERROR(VLOOKUP(C429,Merchants!$A$2:$D$41,3,FALSE),"Merchant not found")</f>
        <v/>
      </c>
      <c r="K429" s="2">
        <f>IFERROR(VLOOKUP(C429,Merchants!$A$2:$D$41,4,FALSE),"Merchant not found")</f>
        <v/>
      </c>
      <c r="L429" s="2">
        <f>IFERROR(HLOOKUP(F429,Fee_Tiers!$B$4:$E$5,2,FALSE),0)</f>
        <v/>
      </c>
      <c r="M429" s="2">
        <f>IF(AND(E429&gt;500,K429&lt;&gt;"East"),"High-Value Merchant Day",IF(AND(E429&gt;500,K429="East"),"High-Value East (Excluded)",IF(E429&lt;=500,"Standard","Unknown")))</f>
        <v/>
      </c>
    </row>
    <row r="430">
      <c r="A430" s="2" t="inlineStr">
        <is>
          <t>TXN100428</t>
        </is>
      </c>
      <c r="B430" s="2" t="n">
        <v>25</v>
      </c>
      <c r="C430" s="2" t="n">
        <v>16</v>
      </c>
      <c r="D430" s="2" t="inlineStr">
        <is>
          <t>2026-01-20 21:45:00</t>
        </is>
      </c>
      <c r="E430" s="2" t="n">
        <v>299</v>
      </c>
      <c r="F430" s="2" t="inlineStr">
        <is>
          <t>UPI</t>
        </is>
      </c>
      <c r="G430" s="2" t="inlineStr">
        <is>
          <t>captured</t>
        </is>
      </c>
      <c r="H430" s="2" t="n">
        <v>94</v>
      </c>
      <c r="I430" s="2">
        <f>IFERROR(VLOOKUP(C430,Merchants!$A$2:$D$41,2,FALSE),"Merchant not found")</f>
        <v/>
      </c>
      <c r="J430" s="2">
        <f>IFERROR(VLOOKUP(C430,Merchants!$A$2:$D$41,3,FALSE),"Merchant not found")</f>
        <v/>
      </c>
      <c r="K430" s="2">
        <f>IFERROR(VLOOKUP(C430,Merchants!$A$2:$D$41,4,FALSE),"Merchant not found")</f>
        <v/>
      </c>
      <c r="L430" s="2">
        <f>IFERROR(HLOOKUP(F430,Fee_Tiers!$B$4:$E$5,2,FALSE),0)</f>
        <v/>
      </c>
      <c r="M430" s="2">
        <f>IF(AND(E430&gt;500,K430&lt;&gt;"East"),"High-Value Merchant Day",IF(AND(E430&gt;500,K430="East"),"High-Value East (Excluded)",IF(E430&lt;=500,"Standard","Unknown")))</f>
        <v/>
      </c>
    </row>
    <row r="431">
      <c r="A431" s="2" t="inlineStr">
        <is>
          <t>TXN100429</t>
        </is>
      </c>
      <c r="B431" s="2" t="n">
        <v>120</v>
      </c>
      <c r="C431" s="2" t="n">
        <v>35</v>
      </c>
      <c r="D431" s="2" t="inlineStr">
        <is>
          <t>2026-01-02 12:28:00</t>
        </is>
      </c>
      <c r="E431" s="2" t="n">
        <v>49</v>
      </c>
      <c r="F431" s="2" t="inlineStr">
        <is>
          <t>UPI</t>
        </is>
      </c>
      <c r="G431" s="2" t="inlineStr">
        <is>
          <t>captured</t>
        </is>
      </c>
      <c r="H431" s="2" t="n">
        <v>27</v>
      </c>
      <c r="I431" s="2">
        <f>IFERROR(VLOOKUP(C431,Merchants!$A$2:$D$41,2,FALSE),"Merchant not found")</f>
        <v/>
      </c>
      <c r="J431" s="2">
        <f>IFERROR(VLOOKUP(C431,Merchants!$A$2:$D$41,3,FALSE),"Merchant not found")</f>
        <v/>
      </c>
      <c r="K431" s="2">
        <f>IFERROR(VLOOKUP(C431,Merchants!$A$2:$D$41,4,FALSE),"Merchant not found")</f>
        <v/>
      </c>
      <c r="L431" s="2">
        <f>IFERROR(HLOOKUP(F431,Fee_Tiers!$B$4:$E$5,2,FALSE),0)</f>
        <v/>
      </c>
      <c r="M431" s="2">
        <f>IF(AND(E431&gt;500,K431&lt;&gt;"East"),"High-Value Merchant Day",IF(AND(E431&gt;500,K431="East"),"High-Value East (Excluded)",IF(E431&lt;=500,"Standard","Unknown")))</f>
        <v/>
      </c>
    </row>
    <row r="432">
      <c r="A432" s="2" t="inlineStr">
        <is>
          <t>TXN100430</t>
        </is>
      </c>
      <c r="B432" s="2" t="n">
        <v>258</v>
      </c>
      <c r="C432" s="2" t="n">
        <v>19</v>
      </c>
      <c r="D432" s="2" t="inlineStr">
        <is>
          <t>2026-01-25 01:08:00</t>
        </is>
      </c>
      <c r="E432" s="2" t="n">
        <v>49</v>
      </c>
      <c r="F432" s="2" t="inlineStr">
        <is>
          <t>Wallet</t>
        </is>
      </c>
      <c r="G432" s="2" t="inlineStr">
        <is>
          <t>captured</t>
        </is>
      </c>
      <c r="H432" s="2" t="n">
        <v>29</v>
      </c>
      <c r="I432" s="2">
        <f>IFERROR(VLOOKUP(C432,Merchants!$A$2:$D$41,2,FALSE),"Merchant not found")</f>
        <v/>
      </c>
      <c r="J432" s="2">
        <f>IFERROR(VLOOKUP(C432,Merchants!$A$2:$D$41,3,FALSE),"Merchant not found")</f>
        <v/>
      </c>
      <c r="K432" s="2">
        <f>IFERROR(VLOOKUP(C432,Merchants!$A$2:$D$41,4,FALSE),"Merchant not found")</f>
        <v/>
      </c>
      <c r="L432" s="2">
        <f>IFERROR(HLOOKUP(F432,Fee_Tiers!$B$4:$E$5,2,FALSE),0)</f>
        <v/>
      </c>
      <c r="M432" s="2">
        <f>IF(AND(E432&gt;500,K432&lt;&gt;"East"),"High-Value Merchant Day",IF(AND(E432&gt;500,K432="East"),"High-Value East (Excluded)",IF(E432&lt;=500,"Standard","Unknown")))</f>
        <v/>
      </c>
    </row>
    <row r="433">
      <c r="A433" s="2" t="inlineStr">
        <is>
          <t>TXN100431</t>
        </is>
      </c>
      <c r="B433" s="2" t="n">
        <v>164</v>
      </c>
      <c r="C433" s="2" t="n">
        <v>37</v>
      </c>
      <c r="D433" s="2" t="inlineStr">
        <is>
          <t>2026-01-27 23:36:00</t>
        </is>
      </c>
      <c r="E433" s="2" t="n">
        <v>799</v>
      </c>
      <c r="F433" s="2" t="inlineStr">
        <is>
          <t>UPI</t>
        </is>
      </c>
      <c r="G433" s="2" t="inlineStr">
        <is>
          <t>captured</t>
        </is>
      </c>
      <c r="H433" s="2" t="n">
        <v>76</v>
      </c>
      <c r="I433" s="2">
        <f>IFERROR(VLOOKUP(C433,Merchants!$A$2:$D$41,2,FALSE),"Merchant not found")</f>
        <v/>
      </c>
      <c r="J433" s="2">
        <f>IFERROR(VLOOKUP(C433,Merchants!$A$2:$D$41,3,FALSE),"Merchant not found")</f>
        <v/>
      </c>
      <c r="K433" s="2">
        <f>IFERROR(VLOOKUP(C433,Merchants!$A$2:$D$41,4,FALSE),"Merchant not found")</f>
        <v/>
      </c>
      <c r="L433" s="2">
        <f>IFERROR(HLOOKUP(F433,Fee_Tiers!$B$4:$E$5,2,FALSE),0)</f>
        <v/>
      </c>
      <c r="M433" s="2">
        <f>IF(AND(E433&gt;500,K433&lt;&gt;"East"),"High-Value Merchant Day",IF(AND(E433&gt;500,K433="East"),"High-Value East (Excluded)",IF(E433&lt;=500,"Standard","Unknown")))</f>
        <v/>
      </c>
    </row>
    <row r="434">
      <c r="A434" s="2" t="inlineStr">
        <is>
          <t>TXN100432</t>
        </is>
      </c>
      <c r="B434" s="2" t="n">
        <v>165</v>
      </c>
      <c r="C434" s="2" t="n">
        <v>16</v>
      </c>
      <c r="D434" s="2" t="inlineStr">
        <is>
          <t>2026-01-25 21:52:00</t>
        </is>
      </c>
      <c r="E434" s="2" t="n">
        <v>49</v>
      </c>
      <c r="F434" s="2" t="inlineStr">
        <is>
          <t>Wallet</t>
        </is>
      </c>
      <c r="G434" s="2" t="inlineStr">
        <is>
          <t>captured</t>
        </is>
      </c>
      <c r="H434" s="2" t="n">
        <v>38</v>
      </c>
      <c r="I434" s="2">
        <f>IFERROR(VLOOKUP(C434,Merchants!$A$2:$D$41,2,FALSE),"Merchant not found")</f>
        <v/>
      </c>
      <c r="J434" s="2">
        <f>IFERROR(VLOOKUP(C434,Merchants!$A$2:$D$41,3,FALSE),"Merchant not found")</f>
        <v/>
      </c>
      <c r="K434" s="2">
        <f>IFERROR(VLOOKUP(C434,Merchants!$A$2:$D$41,4,FALSE),"Merchant not found")</f>
        <v/>
      </c>
      <c r="L434" s="2">
        <f>IFERROR(HLOOKUP(F434,Fee_Tiers!$B$4:$E$5,2,FALSE),0)</f>
        <v/>
      </c>
      <c r="M434" s="2">
        <f>IF(AND(E434&gt;500,K434&lt;&gt;"East"),"High-Value Merchant Day",IF(AND(E434&gt;500,K434="East"),"High-Value East (Excluded)",IF(E434&lt;=500,"Standard","Unknown")))</f>
        <v/>
      </c>
    </row>
    <row r="435">
      <c r="A435" s="2" t="inlineStr">
        <is>
          <t>TXN100433</t>
        </is>
      </c>
      <c r="B435" s="2" t="n">
        <v>267</v>
      </c>
      <c r="C435" s="2" t="n">
        <v>15</v>
      </c>
      <c r="D435" s="2" t="inlineStr">
        <is>
          <t>2026-01-29 04:42:00</t>
        </is>
      </c>
      <c r="E435" s="2" t="n">
        <v>49</v>
      </c>
      <c r="F435" s="2" t="inlineStr">
        <is>
          <t>Netbanking</t>
        </is>
      </c>
      <c r="G435" s="2" t="inlineStr">
        <is>
          <t>captured</t>
        </is>
      </c>
      <c r="H435" s="2" t="n">
        <v>52</v>
      </c>
      <c r="I435" s="2">
        <f>IFERROR(VLOOKUP(C435,Merchants!$A$2:$D$41,2,FALSE),"Merchant not found")</f>
        <v/>
      </c>
      <c r="J435" s="2">
        <f>IFERROR(VLOOKUP(C435,Merchants!$A$2:$D$41,3,FALSE),"Merchant not found")</f>
        <v/>
      </c>
      <c r="K435" s="2">
        <f>IFERROR(VLOOKUP(C435,Merchants!$A$2:$D$41,4,FALSE),"Merchant not found")</f>
        <v/>
      </c>
      <c r="L435" s="2">
        <f>IFERROR(HLOOKUP(F435,Fee_Tiers!$B$4:$E$5,2,FALSE),0)</f>
        <v/>
      </c>
      <c r="M435" s="2">
        <f>IF(AND(E435&gt;500,K435&lt;&gt;"East"),"High-Value Merchant Day",IF(AND(E435&gt;500,K435="East"),"High-Value East (Excluded)",IF(E435&lt;=500,"Standard","Unknown")))</f>
        <v/>
      </c>
    </row>
    <row r="436">
      <c r="A436" s="2" t="inlineStr">
        <is>
          <t>TXN100434</t>
        </is>
      </c>
      <c r="B436" s="2" t="n">
        <v>286</v>
      </c>
      <c r="C436" s="2" t="n">
        <v>38</v>
      </c>
      <c r="D436" s="2" t="inlineStr">
        <is>
          <t>2026-01-10 08:03:00</t>
        </is>
      </c>
      <c r="E436" s="2" t="n">
        <v>299</v>
      </c>
      <c r="F436" s="2" t="inlineStr">
        <is>
          <t>Wallet</t>
        </is>
      </c>
      <c r="G436" s="2" t="inlineStr">
        <is>
          <t>captured</t>
        </is>
      </c>
      <c r="H436" s="2" t="n">
        <v>94</v>
      </c>
      <c r="I436" s="2">
        <f>IFERROR(VLOOKUP(C436,Merchants!$A$2:$D$41,2,FALSE),"Merchant not found")</f>
        <v/>
      </c>
      <c r="J436" s="2">
        <f>IFERROR(VLOOKUP(C436,Merchants!$A$2:$D$41,3,FALSE),"Merchant not found")</f>
        <v/>
      </c>
      <c r="K436" s="2">
        <f>IFERROR(VLOOKUP(C436,Merchants!$A$2:$D$41,4,FALSE),"Merchant not found")</f>
        <v/>
      </c>
      <c r="L436" s="2">
        <f>IFERROR(HLOOKUP(F436,Fee_Tiers!$B$4:$E$5,2,FALSE),0)</f>
        <v/>
      </c>
      <c r="M436" s="2">
        <f>IF(AND(E436&gt;500,K436&lt;&gt;"East"),"High-Value Merchant Day",IF(AND(E436&gt;500,K436="East"),"High-Value East (Excluded)",IF(E436&lt;=500,"Standard","Unknown")))</f>
        <v/>
      </c>
    </row>
    <row r="437">
      <c r="A437" s="2" t="inlineStr">
        <is>
          <t>TXN100435</t>
        </is>
      </c>
      <c r="B437" s="2" t="n">
        <v>348</v>
      </c>
      <c r="C437" s="2" t="n">
        <v>28</v>
      </c>
      <c r="D437" s="2" t="inlineStr">
        <is>
          <t>2026-01-30 05:40:00</t>
        </is>
      </c>
      <c r="E437" s="2" t="n">
        <v>499</v>
      </c>
      <c r="F437" s="2" t="inlineStr">
        <is>
          <t>Card</t>
        </is>
      </c>
      <c r="G437" s="2" t="inlineStr">
        <is>
          <t>captured</t>
        </is>
      </c>
      <c r="H437" s="2" t="n">
        <v>71</v>
      </c>
      <c r="I437" s="2">
        <f>IFERROR(VLOOKUP(C437,Merchants!$A$2:$D$41,2,FALSE),"Merchant not found")</f>
        <v/>
      </c>
      <c r="J437" s="2">
        <f>IFERROR(VLOOKUP(C437,Merchants!$A$2:$D$41,3,FALSE),"Merchant not found")</f>
        <v/>
      </c>
      <c r="K437" s="2">
        <f>IFERROR(VLOOKUP(C437,Merchants!$A$2:$D$41,4,FALSE),"Merchant not found")</f>
        <v/>
      </c>
      <c r="L437" s="2">
        <f>IFERROR(HLOOKUP(F437,Fee_Tiers!$B$4:$E$5,2,FALSE),0)</f>
        <v/>
      </c>
      <c r="M437" s="2">
        <f>IF(AND(E437&gt;500,K437&lt;&gt;"East"),"High-Value Merchant Day",IF(AND(E437&gt;500,K437="East"),"High-Value East (Excluded)",IF(E437&lt;=500,"Standard","Unknown")))</f>
        <v/>
      </c>
    </row>
    <row r="438">
      <c r="A438" s="2" t="inlineStr">
        <is>
          <t>TXN100436</t>
        </is>
      </c>
      <c r="B438" s="2" t="n">
        <v>330</v>
      </c>
      <c r="C438" s="2" t="n">
        <v>25</v>
      </c>
      <c r="D438" s="2" t="inlineStr">
        <is>
          <t>2026-01-16 01:22:00</t>
        </is>
      </c>
      <c r="E438" s="2" t="n">
        <v>799</v>
      </c>
      <c r="F438" s="2" t="inlineStr">
        <is>
          <t>UPI</t>
        </is>
      </c>
      <c r="G438" s="2" t="inlineStr">
        <is>
          <t>captured</t>
        </is>
      </c>
      <c r="H438" s="2" t="n">
        <v>100</v>
      </c>
      <c r="I438" s="2">
        <f>IFERROR(VLOOKUP(C438,Merchants!$A$2:$D$41,2,FALSE),"Merchant not found")</f>
        <v/>
      </c>
      <c r="J438" s="2">
        <f>IFERROR(VLOOKUP(C438,Merchants!$A$2:$D$41,3,FALSE),"Merchant not found")</f>
        <v/>
      </c>
      <c r="K438" s="2">
        <f>IFERROR(VLOOKUP(C438,Merchants!$A$2:$D$41,4,FALSE),"Merchant not found")</f>
        <v/>
      </c>
      <c r="L438" s="2">
        <f>IFERROR(HLOOKUP(F438,Fee_Tiers!$B$4:$E$5,2,FALSE),0)</f>
        <v/>
      </c>
      <c r="M438" s="2">
        <f>IF(AND(E438&gt;500,K438&lt;&gt;"East"),"High-Value Merchant Day",IF(AND(E438&gt;500,K438="East"),"High-Value East (Excluded)",IF(E438&lt;=500,"Standard","Unknown")))</f>
        <v/>
      </c>
    </row>
    <row r="439">
      <c r="A439" s="2" t="inlineStr">
        <is>
          <t>TXN100437</t>
        </is>
      </c>
      <c r="B439" s="2" t="n">
        <v>214</v>
      </c>
      <c r="C439" s="2" t="n">
        <v>27</v>
      </c>
      <c r="D439" s="2" t="inlineStr">
        <is>
          <t>2026-01-17 10:44:00</t>
        </is>
      </c>
      <c r="E439" s="2" t="n">
        <v>299</v>
      </c>
      <c r="F439" s="2" t="inlineStr">
        <is>
          <t>Card</t>
        </is>
      </c>
      <c r="G439" s="2" t="inlineStr">
        <is>
          <t>captured</t>
        </is>
      </c>
      <c r="H439" s="2" t="n">
        <v>19</v>
      </c>
      <c r="I439" s="2">
        <f>IFERROR(VLOOKUP(C439,Merchants!$A$2:$D$41,2,FALSE),"Merchant not found")</f>
        <v/>
      </c>
      <c r="J439" s="2">
        <f>IFERROR(VLOOKUP(C439,Merchants!$A$2:$D$41,3,FALSE),"Merchant not found")</f>
        <v/>
      </c>
      <c r="K439" s="2">
        <f>IFERROR(VLOOKUP(C439,Merchants!$A$2:$D$41,4,FALSE),"Merchant not found")</f>
        <v/>
      </c>
      <c r="L439" s="2">
        <f>IFERROR(HLOOKUP(F439,Fee_Tiers!$B$4:$E$5,2,FALSE),0)</f>
        <v/>
      </c>
      <c r="M439" s="2">
        <f>IF(AND(E439&gt;500,K439&lt;&gt;"East"),"High-Value Merchant Day",IF(AND(E439&gt;500,K439="East"),"High-Value East (Excluded)",IF(E439&lt;=500,"Standard","Unknown")))</f>
        <v/>
      </c>
    </row>
    <row r="440">
      <c r="A440" s="2" t="inlineStr">
        <is>
          <t>TXN100438</t>
        </is>
      </c>
      <c r="B440" s="2" t="n">
        <v>276</v>
      </c>
      <c r="C440" s="2" t="n">
        <v>31</v>
      </c>
      <c r="D440" s="2" t="inlineStr">
        <is>
          <t>2026-01-10 12:11:00</t>
        </is>
      </c>
      <c r="E440" s="2" t="n">
        <v>499</v>
      </c>
      <c r="F440" s="2" t="inlineStr">
        <is>
          <t>UPI</t>
        </is>
      </c>
      <c r="G440" s="2" t="inlineStr">
        <is>
          <t>captured</t>
        </is>
      </c>
      <c r="H440" s="2" t="n">
        <v>30</v>
      </c>
      <c r="I440" s="2">
        <f>IFERROR(VLOOKUP(C440,Merchants!$A$2:$D$41,2,FALSE),"Merchant not found")</f>
        <v/>
      </c>
      <c r="J440" s="2">
        <f>IFERROR(VLOOKUP(C440,Merchants!$A$2:$D$41,3,FALSE),"Merchant not found")</f>
        <v/>
      </c>
      <c r="K440" s="2">
        <f>IFERROR(VLOOKUP(C440,Merchants!$A$2:$D$41,4,FALSE),"Merchant not found")</f>
        <v/>
      </c>
      <c r="L440" s="2">
        <f>IFERROR(HLOOKUP(F440,Fee_Tiers!$B$4:$E$5,2,FALSE),0)</f>
        <v/>
      </c>
      <c r="M440" s="2">
        <f>IF(AND(E440&gt;500,K440&lt;&gt;"East"),"High-Value Merchant Day",IF(AND(E440&gt;500,K440="East"),"High-Value East (Excluded)",IF(E440&lt;=500,"Standard","Unknown")))</f>
        <v/>
      </c>
    </row>
    <row r="441">
      <c r="A441" s="2" t="inlineStr">
        <is>
          <t>TXN100439</t>
        </is>
      </c>
      <c r="B441" s="2" t="n">
        <v>74</v>
      </c>
      <c r="C441" s="2" t="n">
        <v>30</v>
      </c>
      <c r="D441" s="2" t="inlineStr">
        <is>
          <t>2026-01-28 07:19:00</t>
        </is>
      </c>
      <c r="E441" s="2" t="n">
        <v>49</v>
      </c>
      <c r="F441" s="2" t="inlineStr">
        <is>
          <t>UPI</t>
        </is>
      </c>
      <c r="G441" s="2" t="inlineStr">
        <is>
          <t>captured</t>
        </is>
      </c>
      <c r="H441" s="2" t="n">
        <v>7</v>
      </c>
      <c r="I441" s="2">
        <f>IFERROR(VLOOKUP(C441,Merchants!$A$2:$D$41,2,FALSE),"Merchant not found")</f>
        <v/>
      </c>
      <c r="J441" s="2">
        <f>IFERROR(VLOOKUP(C441,Merchants!$A$2:$D$41,3,FALSE),"Merchant not found")</f>
        <v/>
      </c>
      <c r="K441" s="2">
        <f>IFERROR(VLOOKUP(C441,Merchants!$A$2:$D$41,4,FALSE),"Merchant not found")</f>
        <v/>
      </c>
      <c r="L441" s="2">
        <f>IFERROR(HLOOKUP(F441,Fee_Tiers!$B$4:$E$5,2,FALSE),0)</f>
        <v/>
      </c>
      <c r="M441" s="2">
        <f>IF(AND(E441&gt;500,K441&lt;&gt;"East"),"High-Value Merchant Day",IF(AND(E441&gt;500,K441="East"),"High-Value East (Excluded)",IF(E441&lt;=500,"Standard","Unknown")))</f>
        <v/>
      </c>
    </row>
    <row r="442">
      <c r="A442" s="2" t="inlineStr">
        <is>
          <t>TXN100440</t>
        </is>
      </c>
      <c r="B442" s="2" t="n">
        <v>286</v>
      </c>
      <c r="C442" s="2" t="n">
        <v>34</v>
      </c>
      <c r="D442" s="2" t="inlineStr">
        <is>
          <t>2026-01-18 13:26:00</t>
        </is>
      </c>
      <c r="E442" s="2" t="n">
        <v>49</v>
      </c>
      <c r="F442" s="2" t="inlineStr">
        <is>
          <t>Card</t>
        </is>
      </c>
      <c r="G442" s="2" t="inlineStr">
        <is>
          <t>captured</t>
        </is>
      </c>
      <c r="H442" s="2" t="n">
        <v>17</v>
      </c>
      <c r="I442" s="2">
        <f>IFERROR(VLOOKUP(C442,Merchants!$A$2:$D$41,2,FALSE),"Merchant not found")</f>
        <v/>
      </c>
      <c r="J442" s="2">
        <f>IFERROR(VLOOKUP(C442,Merchants!$A$2:$D$41,3,FALSE),"Merchant not found")</f>
        <v/>
      </c>
      <c r="K442" s="2">
        <f>IFERROR(VLOOKUP(C442,Merchants!$A$2:$D$41,4,FALSE),"Merchant not found")</f>
        <v/>
      </c>
      <c r="L442" s="2">
        <f>IFERROR(HLOOKUP(F442,Fee_Tiers!$B$4:$E$5,2,FALSE),0)</f>
        <v/>
      </c>
      <c r="M442" s="2">
        <f>IF(AND(E442&gt;500,K442&lt;&gt;"East"),"High-Value Merchant Day",IF(AND(E442&gt;500,K442="East"),"High-Value East (Excluded)",IF(E442&lt;=500,"Standard","Unknown")))</f>
        <v/>
      </c>
    </row>
    <row r="443">
      <c r="A443" s="2" t="inlineStr">
        <is>
          <t>TXN100441</t>
        </is>
      </c>
      <c r="B443" s="2" t="n">
        <v>105</v>
      </c>
      <c r="C443" s="2" t="n">
        <v>22</v>
      </c>
      <c r="D443" s="2" t="inlineStr">
        <is>
          <t>2026-01-13 07:16:00</t>
        </is>
      </c>
      <c r="E443" s="2" t="n">
        <v>4999</v>
      </c>
      <c r="F443" s="2" t="inlineStr">
        <is>
          <t>UPI</t>
        </is>
      </c>
      <c r="G443" s="2" t="inlineStr">
        <is>
          <t>captured</t>
        </is>
      </c>
      <c r="H443" s="2" t="n">
        <v>82</v>
      </c>
      <c r="I443" s="2">
        <f>IFERROR(VLOOKUP(C443,Merchants!$A$2:$D$41,2,FALSE),"Merchant not found")</f>
        <v/>
      </c>
      <c r="J443" s="2">
        <f>IFERROR(VLOOKUP(C443,Merchants!$A$2:$D$41,3,FALSE),"Merchant not found")</f>
        <v/>
      </c>
      <c r="K443" s="2">
        <f>IFERROR(VLOOKUP(C443,Merchants!$A$2:$D$41,4,FALSE),"Merchant not found")</f>
        <v/>
      </c>
      <c r="L443" s="2">
        <f>IFERROR(HLOOKUP(F443,Fee_Tiers!$B$4:$E$5,2,FALSE),0)</f>
        <v/>
      </c>
      <c r="M443" s="2">
        <f>IF(AND(E443&gt;500,K443&lt;&gt;"East"),"High-Value Merchant Day",IF(AND(E443&gt;500,K443="East"),"High-Value East (Excluded)",IF(E443&lt;=500,"Standard","Unknown")))</f>
        <v/>
      </c>
    </row>
    <row r="444">
      <c r="A444" s="2" t="inlineStr">
        <is>
          <t>TXN100442</t>
        </is>
      </c>
      <c r="B444" s="2" t="n">
        <v>190</v>
      </c>
      <c r="C444" s="2" t="n">
        <v>6</v>
      </c>
      <c r="D444" s="2" t="inlineStr">
        <is>
          <t>2026-01-03 14:54:00</t>
        </is>
      </c>
      <c r="E444" s="2" t="n">
        <v>799</v>
      </c>
      <c r="F444" s="2" t="inlineStr">
        <is>
          <t>Wallet</t>
        </is>
      </c>
      <c r="G444" s="2" t="inlineStr">
        <is>
          <t>captured</t>
        </is>
      </c>
      <c r="H444" s="2" t="n">
        <v>68</v>
      </c>
      <c r="I444" s="2">
        <f>IFERROR(VLOOKUP(C444,Merchants!$A$2:$D$41,2,FALSE),"Merchant not found")</f>
        <v/>
      </c>
      <c r="J444" s="2">
        <f>IFERROR(VLOOKUP(C444,Merchants!$A$2:$D$41,3,FALSE),"Merchant not found")</f>
        <v/>
      </c>
      <c r="K444" s="2">
        <f>IFERROR(VLOOKUP(C444,Merchants!$A$2:$D$41,4,FALSE),"Merchant not found")</f>
        <v/>
      </c>
      <c r="L444" s="2">
        <f>IFERROR(HLOOKUP(F444,Fee_Tiers!$B$4:$E$5,2,FALSE),0)</f>
        <v/>
      </c>
      <c r="M444" s="2">
        <f>IF(AND(E444&gt;500,K444&lt;&gt;"East"),"High-Value Merchant Day",IF(AND(E444&gt;500,K444="East"),"High-Value East (Excluded)",IF(E444&lt;=500,"Standard","Unknown")))</f>
        <v/>
      </c>
    </row>
    <row r="445">
      <c r="A445" s="2" t="inlineStr">
        <is>
          <t>TXN100443</t>
        </is>
      </c>
      <c r="B445" s="2" t="n">
        <v>138</v>
      </c>
      <c r="C445" s="2" t="n">
        <v>25</v>
      </c>
      <c r="D445" s="2" t="inlineStr">
        <is>
          <t>2026-01-24 06:03:00</t>
        </is>
      </c>
      <c r="E445" s="2" t="n">
        <v>299</v>
      </c>
      <c r="F445" s="2" t="inlineStr">
        <is>
          <t>Wallet</t>
        </is>
      </c>
      <c r="G445" s="2" t="inlineStr">
        <is>
          <t>captured</t>
        </is>
      </c>
      <c r="H445" s="2" t="n">
        <v>86</v>
      </c>
      <c r="I445" s="2">
        <f>IFERROR(VLOOKUP(C445,Merchants!$A$2:$D$41,2,FALSE),"Merchant not found")</f>
        <v/>
      </c>
      <c r="J445" s="2">
        <f>IFERROR(VLOOKUP(C445,Merchants!$A$2:$D$41,3,FALSE),"Merchant not found")</f>
        <v/>
      </c>
      <c r="K445" s="2">
        <f>IFERROR(VLOOKUP(C445,Merchants!$A$2:$D$41,4,FALSE),"Merchant not found")</f>
        <v/>
      </c>
      <c r="L445" s="2">
        <f>IFERROR(HLOOKUP(F445,Fee_Tiers!$B$4:$E$5,2,FALSE),0)</f>
        <v/>
      </c>
      <c r="M445" s="2">
        <f>IF(AND(E445&gt;500,K445&lt;&gt;"East"),"High-Value Merchant Day",IF(AND(E445&gt;500,K445="East"),"High-Value East (Excluded)",IF(E445&lt;=500,"Standard","Unknown")))</f>
        <v/>
      </c>
    </row>
    <row r="446">
      <c r="A446" s="2" t="inlineStr">
        <is>
          <t>TXN100444</t>
        </is>
      </c>
      <c r="B446" s="2" t="n">
        <v>38</v>
      </c>
      <c r="C446" s="2" t="n">
        <v>13</v>
      </c>
      <c r="D446" s="2" t="inlineStr">
        <is>
          <t>2026-01-20 19:02:00</t>
        </is>
      </c>
      <c r="E446" s="2" t="n">
        <v>4999</v>
      </c>
      <c r="F446" s="2" t="inlineStr">
        <is>
          <t>Netbanking</t>
        </is>
      </c>
      <c r="G446" s="2" t="inlineStr">
        <is>
          <t>captured</t>
        </is>
      </c>
      <c r="H446" s="2" t="n">
        <v>97</v>
      </c>
      <c r="I446" s="2">
        <f>IFERROR(VLOOKUP(C446,Merchants!$A$2:$D$41,2,FALSE),"Merchant not found")</f>
        <v/>
      </c>
      <c r="J446" s="2">
        <f>IFERROR(VLOOKUP(C446,Merchants!$A$2:$D$41,3,FALSE),"Merchant not found")</f>
        <v/>
      </c>
      <c r="K446" s="2">
        <f>IFERROR(VLOOKUP(C446,Merchants!$A$2:$D$41,4,FALSE),"Merchant not found")</f>
        <v/>
      </c>
      <c r="L446" s="2">
        <f>IFERROR(HLOOKUP(F446,Fee_Tiers!$B$4:$E$5,2,FALSE),0)</f>
        <v/>
      </c>
      <c r="M446" s="2">
        <f>IF(AND(E446&gt;500,K446&lt;&gt;"East"),"High-Value Merchant Day",IF(AND(E446&gt;500,K446="East"),"High-Value East (Excluded)",IF(E446&lt;=500,"Standard","Unknown")))</f>
        <v/>
      </c>
    </row>
    <row r="447">
      <c r="A447" s="2" t="inlineStr">
        <is>
          <t>TXN100445</t>
        </is>
      </c>
      <c r="B447" s="2" t="n">
        <v>287</v>
      </c>
      <c r="C447" s="2" t="n">
        <v>14</v>
      </c>
      <c r="D447" s="2" t="inlineStr">
        <is>
          <t>2026-01-19 23:42:00</t>
        </is>
      </c>
      <c r="E447" s="2" t="n">
        <v>99</v>
      </c>
      <c r="F447" s="2" t="inlineStr">
        <is>
          <t>Wallet</t>
        </is>
      </c>
      <c r="G447" s="2" t="inlineStr">
        <is>
          <t>captured</t>
        </is>
      </c>
      <c r="H447" s="2" t="n">
        <v>61</v>
      </c>
      <c r="I447" s="2">
        <f>IFERROR(VLOOKUP(C447,Merchants!$A$2:$D$41,2,FALSE),"Merchant not found")</f>
        <v/>
      </c>
      <c r="J447" s="2">
        <f>IFERROR(VLOOKUP(C447,Merchants!$A$2:$D$41,3,FALSE),"Merchant not found")</f>
        <v/>
      </c>
      <c r="K447" s="2">
        <f>IFERROR(VLOOKUP(C447,Merchants!$A$2:$D$41,4,FALSE),"Merchant not found")</f>
        <v/>
      </c>
      <c r="L447" s="2">
        <f>IFERROR(HLOOKUP(F447,Fee_Tiers!$B$4:$E$5,2,FALSE),0)</f>
        <v/>
      </c>
      <c r="M447" s="2">
        <f>IF(AND(E447&gt;500,K447&lt;&gt;"East"),"High-Value Merchant Day",IF(AND(E447&gt;500,K447="East"),"High-Value East (Excluded)",IF(E447&lt;=500,"Standard","Unknown")))</f>
        <v/>
      </c>
    </row>
    <row r="448">
      <c r="A448" s="2" t="inlineStr">
        <is>
          <t>TXN100446</t>
        </is>
      </c>
      <c r="B448" s="2" t="n">
        <v>8</v>
      </c>
      <c r="C448" s="2" t="n">
        <v>14</v>
      </c>
      <c r="D448" s="2" t="inlineStr">
        <is>
          <t>2026-01-07 10:19:00</t>
        </is>
      </c>
      <c r="E448" s="2" t="n">
        <v>49</v>
      </c>
      <c r="F448" s="2" t="inlineStr">
        <is>
          <t>UPI</t>
        </is>
      </c>
      <c r="G448" s="2" t="inlineStr">
        <is>
          <t>captured</t>
        </is>
      </c>
      <c r="H448" s="2" t="n">
        <v>24</v>
      </c>
      <c r="I448" s="2">
        <f>IFERROR(VLOOKUP(C448,Merchants!$A$2:$D$41,2,FALSE),"Merchant not found")</f>
        <v/>
      </c>
      <c r="J448" s="2">
        <f>IFERROR(VLOOKUP(C448,Merchants!$A$2:$D$41,3,FALSE),"Merchant not found")</f>
        <v/>
      </c>
      <c r="K448" s="2">
        <f>IFERROR(VLOOKUP(C448,Merchants!$A$2:$D$41,4,FALSE),"Merchant not found")</f>
        <v/>
      </c>
      <c r="L448" s="2">
        <f>IFERROR(HLOOKUP(F448,Fee_Tiers!$B$4:$E$5,2,FALSE),0)</f>
        <v/>
      </c>
      <c r="M448" s="2">
        <f>IF(AND(E448&gt;500,K448&lt;&gt;"East"),"High-Value Merchant Day",IF(AND(E448&gt;500,K448="East"),"High-Value East (Excluded)",IF(E448&lt;=500,"Standard","Unknown")))</f>
        <v/>
      </c>
    </row>
    <row r="449">
      <c r="A449" s="2" t="inlineStr">
        <is>
          <t>TXN100447</t>
        </is>
      </c>
      <c r="B449" s="2" t="n">
        <v>246</v>
      </c>
      <c r="C449" s="2" t="n">
        <v>16</v>
      </c>
      <c r="D449" s="2" t="inlineStr">
        <is>
          <t>2026-01-24 03:47:00</t>
        </is>
      </c>
      <c r="E449" s="2" t="n">
        <v>1499</v>
      </c>
      <c r="F449" s="2" t="inlineStr">
        <is>
          <t>Wallet</t>
        </is>
      </c>
      <c r="G449" s="2" t="inlineStr">
        <is>
          <t>captured</t>
        </is>
      </c>
      <c r="H449" s="2" t="n">
        <v>89</v>
      </c>
      <c r="I449" s="2">
        <f>IFERROR(VLOOKUP(C449,Merchants!$A$2:$D$41,2,FALSE),"Merchant not found")</f>
        <v/>
      </c>
      <c r="J449" s="2">
        <f>IFERROR(VLOOKUP(C449,Merchants!$A$2:$D$41,3,FALSE),"Merchant not found")</f>
        <v/>
      </c>
      <c r="K449" s="2">
        <f>IFERROR(VLOOKUP(C449,Merchants!$A$2:$D$41,4,FALSE),"Merchant not found")</f>
        <v/>
      </c>
      <c r="L449" s="2">
        <f>IFERROR(HLOOKUP(F449,Fee_Tiers!$B$4:$E$5,2,FALSE),0)</f>
        <v/>
      </c>
      <c r="M449" s="2">
        <f>IF(AND(E449&gt;500,K449&lt;&gt;"East"),"High-Value Merchant Day",IF(AND(E449&gt;500,K449="East"),"High-Value East (Excluded)",IF(E449&lt;=500,"Standard","Unknown")))</f>
        <v/>
      </c>
    </row>
    <row r="450">
      <c r="A450" s="2" t="inlineStr">
        <is>
          <t>TXN100448</t>
        </is>
      </c>
      <c r="B450" s="2" t="n">
        <v>204</v>
      </c>
      <c r="C450" s="2" t="n">
        <v>16</v>
      </c>
      <c r="D450" s="2" t="inlineStr">
        <is>
          <t>2026-01-20 22:13:00</t>
        </is>
      </c>
      <c r="E450" s="2" t="n">
        <v>149</v>
      </c>
      <c r="F450" s="2" t="inlineStr">
        <is>
          <t>UPI</t>
        </is>
      </c>
      <c r="G450" s="2" t="inlineStr">
        <is>
          <t>captured</t>
        </is>
      </c>
      <c r="H450" s="2" t="n">
        <v>70</v>
      </c>
      <c r="I450" s="2">
        <f>IFERROR(VLOOKUP(C450,Merchants!$A$2:$D$41,2,FALSE),"Merchant not found")</f>
        <v/>
      </c>
      <c r="J450" s="2">
        <f>IFERROR(VLOOKUP(C450,Merchants!$A$2:$D$41,3,FALSE),"Merchant not found")</f>
        <v/>
      </c>
      <c r="K450" s="2">
        <f>IFERROR(VLOOKUP(C450,Merchants!$A$2:$D$41,4,FALSE),"Merchant not found")</f>
        <v/>
      </c>
      <c r="L450" s="2">
        <f>IFERROR(HLOOKUP(F450,Fee_Tiers!$B$4:$E$5,2,FALSE),0)</f>
        <v/>
      </c>
      <c r="M450" s="2">
        <f>IF(AND(E450&gt;500,K450&lt;&gt;"East"),"High-Value Merchant Day",IF(AND(E450&gt;500,K450="East"),"High-Value East (Excluded)",IF(E450&lt;=500,"Standard","Unknown")))</f>
        <v/>
      </c>
    </row>
    <row r="451">
      <c r="A451" s="2" t="inlineStr">
        <is>
          <t>TXN100449</t>
        </is>
      </c>
      <c r="B451" s="2" t="n">
        <v>239</v>
      </c>
      <c r="C451" s="2" t="n">
        <v>35</v>
      </c>
      <c r="D451" s="2" t="inlineStr">
        <is>
          <t>2026-01-11 09:24:00</t>
        </is>
      </c>
      <c r="E451" s="2" t="n">
        <v>4999</v>
      </c>
      <c r="F451" s="2" t="inlineStr">
        <is>
          <t>UPI</t>
        </is>
      </c>
      <c r="G451" s="2" t="inlineStr">
        <is>
          <t>captured</t>
        </is>
      </c>
      <c r="H451" s="2" t="n">
        <v>83</v>
      </c>
      <c r="I451" s="2">
        <f>IFERROR(VLOOKUP(C451,Merchants!$A$2:$D$41,2,FALSE),"Merchant not found")</f>
        <v/>
      </c>
      <c r="J451" s="2">
        <f>IFERROR(VLOOKUP(C451,Merchants!$A$2:$D$41,3,FALSE),"Merchant not found")</f>
        <v/>
      </c>
      <c r="K451" s="2">
        <f>IFERROR(VLOOKUP(C451,Merchants!$A$2:$D$41,4,FALSE),"Merchant not found")</f>
        <v/>
      </c>
      <c r="L451" s="2">
        <f>IFERROR(HLOOKUP(F451,Fee_Tiers!$B$4:$E$5,2,FALSE),0)</f>
        <v/>
      </c>
      <c r="M451" s="2">
        <f>IF(AND(E451&gt;500,K451&lt;&gt;"East"),"High-Value Merchant Day",IF(AND(E451&gt;500,K451="East"),"High-Value East (Excluded)",IF(E451&lt;=500,"Standard","Unknown")))</f>
        <v/>
      </c>
    </row>
    <row r="452">
      <c r="A452" s="2" t="inlineStr">
        <is>
          <t>TXN100450</t>
        </is>
      </c>
      <c r="B452" s="2" t="n">
        <v>185</v>
      </c>
      <c r="C452" s="2" t="n">
        <v>33</v>
      </c>
      <c r="D452" s="2" t="inlineStr">
        <is>
          <t>2026-01-12 09:16:00</t>
        </is>
      </c>
      <c r="E452" s="2" t="n">
        <v>299</v>
      </c>
      <c r="F452" s="2" t="inlineStr">
        <is>
          <t>UPI</t>
        </is>
      </c>
      <c r="G452" s="2" t="inlineStr">
        <is>
          <t>captured</t>
        </is>
      </c>
      <c r="H452" s="2" t="n">
        <v>63</v>
      </c>
      <c r="I452" s="2">
        <f>IFERROR(VLOOKUP(C452,Merchants!$A$2:$D$41,2,FALSE),"Merchant not found")</f>
        <v/>
      </c>
      <c r="J452" s="2">
        <f>IFERROR(VLOOKUP(C452,Merchants!$A$2:$D$41,3,FALSE),"Merchant not found")</f>
        <v/>
      </c>
      <c r="K452" s="2">
        <f>IFERROR(VLOOKUP(C452,Merchants!$A$2:$D$41,4,FALSE),"Merchant not found")</f>
        <v/>
      </c>
      <c r="L452" s="2">
        <f>IFERROR(HLOOKUP(F452,Fee_Tiers!$B$4:$E$5,2,FALSE),0)</f>
        <v/>
      </c>
      <c r="M452" s="2">
        <f>IF(AND(E452&gt;500,K452&lt;&gt;"East"),"High-Value Merchant Day",IF(AND(E452&gt;500,K452="East"),"High-Value East (Excluded)",IF(E452&lt;=500,"Standard","Unknown")))</f>
        <v/>
      </c>
    </row>
    <row r="453">
      <c r="A453" s="2" t="inlineStr">
        <is>
          <t>TXN100451</t>
        </is>
      </c>
      <c r="B453" s="2" t="n">
        <v>241</v>
      </c>
      <c r="C453" s="2" t="n">
        <v>21</v>
      </c>
      <c r="D453" s="2" t="inlineStr">
        <is>
          <t>2026-01-15 03:51:00</t>
        </is>
      </c>
      <c r="E453" s="2" t="n">
        <v>299</v>
      </c>
      <c r="F453" s="2" t="inlineStr">
        <is>
          <t>Card</t>
        </is>
      </c>
      <c r="G453" s="2" t="inlineStr">
        <is>
          <t>captured</t>
        </is>
      </c>
      <c r="H453" s="2" t="n">
        <v>26</v>
      </c>
      <c r="I453" s="2">
        <f>IFERROR(VLOOKUP(C453,Merchants!$A$2:$D$41,2,FALSE),"Merchant not found")</f>
        <v/>
      </c>
      <c r="J453" s="2">
        <f>IFERROR(VLOOKUP(C453,Merchants!$A$2:$D$41,3,FALSE),"Merchant not found")</f>
        <v/>
      </c>
      <c r="K453" s="2">
        <f>IFERROR(VLOOKUP(C453,Merchants!$A$2:$D$41,4,FALSE),"Merchant not found")</f>
        <v/>
      </c>
      <c r="L453" s="2">
        <f>IFERROR(HLOOKUP(F453,Fee_Tiers!$B$4:$E$5,2,FALSE),0)</f>
        <v/>
      </c>
      <c r="M453" s="2">
        <f>IF(AND(E453&gt;500,K453&lt;&gt;"East"),"High-Value Merchant Day",IF(AND(E453&gt;500,K453="East"),"High-Value East (Excluded)",IF(E453&lt;=500,"Standard","Unknown")))</f>
        <v/>
      </c>
    </row>
    <row r="454">
      <c r="A454" s="2" t="inlineStr">
        <is>
          <t>TXN100452</t>
        </is>
      </c>
      <c r="B454" s="2" t="n">
        <v>24</v>
      </c>
      <c r="C454" s="2" t="n">
        <v>37</v>
      </c>
      <c r="D454" s="2" t="inlineStr">
        <is>
          <t>2026-01-12 10:26:00</t>
        </is>
      </c>
      <c r="E454" s="2" t="n">
        <v>149</v>
      </c>
      <c r="F454" s="2" t="inlineStr">
        <is>
          <t>UPI</t>
        </is>
      </c>
      <c r="G454" s="2" t="inlineStr">
        <is>
          <t>captured</t>
        </is>
      </c>
      <c r="H454" s="2" t="n">
        <v>28</v>
      </c>
      <c r="I454" s="2">
        <f>IFERROR(VLOOKUP(C454,Merchants!$A$2:$D$41,2,FALSE),"Merchant not found")</f>
        <v/>
      </c>
      <c r="J454" s="2">
        <f>IFERROR(VLOOKUP(C454,Merchants!$A$2:$D$41,3,FALSE),"Merchant not found")</f>
        <v/>
      </c>
      <c r="K454" s="2">
        <f>IFERROR(VLOOKUP(C454,Merchants!$A$2:$D$41,4,FALSE),"Merchant not found")</f>
        <v/>
      </c>
      <c r="L454" s="2">
        <f>IFERROR(HLOOKUP(F454,Fee_Tiers!$B$4:$E$5,2,FALSE),0)</f>
        <v/>
      </c>
      <c r="M454" s="2">
        <f>IF(AND(E454&gt;500,K454&lt;&gt;"East"),"High-Value Merchant Day",IF(AND(E454&gt;500,K454="East"),"High-Value East (Excluded)",IF(E454&lt;=500,"Standard","Unknown")))</f>
        <v/>
      </c>
    </row>
    <row r="455">
      <c r="A455" s="2" t="inlineStr">
        <is>
          <t>TXN100453</t>
        </is>
      </c>
      <c r="B455" s="2" t="n">
        <v>134</v>
      </c>
      <c r="C455" s="2" t="n">
        <v>36</v>
      </c>
      <c r="D455" s="2" t="inlineStr">
        <is>
          <t>2026-01-24 04:01:00</t>
        </is>
      </c>
      <c r="E455" s="2" t="n">
        <v>1499</v>
      </c>
      <c r="F455" s="2" t="inlineStr">
        <is>
          <t>UPI</t>
        </is>
      </c>
      <c r="G455" s="2" t="inlineStr">
        <is>
          <t>captured</t>
        </is>
      </c>
      <c r="H455" s="2" t="n">
        <v>74</v>
      </c>
      <c r="I455" s="2">
        <f>IFERROR(VLOOKUP(C455,Merchants!$A$2:$D$41,2,FALSE),"Merchant not found")</f>
        <v/>
      </c>
      <c r="J455" s="2">
        <f>IFERROR(VLOOKUP(C455,Merchants!$A$2:$D$41,3,FALSE),"Merchant not found")</f>
        <v/>
      </c>
      <c r="K455" s="2">
        <f>IFERROR(VLOOKUP(C455,Merchants!$A$2:$D$41,4,FALSE),"Merchant not found")</f>
        <v/>
      </c>
      <c r="L455" s="2">
        <f>IFERROR(HLOOKUP(F455,Fee_Tiers!$B$4:$E$5,2,FALSE),0)</f>
        <v/>
      </c>
      <c r="M455" s="2">
        <f>IF(AND(E455&gt;500,K455&lt;&gt;"East"),"High-Value Merchant Day",IF(AND(E455&gt;500,K455="East"),"High-Value East (Excluded)",IF(E455&lt;=500,"Standard","Unknown")))</f>
        <v/>
      </c>
    </row>
    <row r="456">
      <c r="A456" s="2" t="inlineStr">
        <is>
          <t>TXN100454</t>
        </is>
      </c>
      <c r="B456" s="2" t="n">
        <v>152</v>
      </c>
      <c r="C456" s="2" t="n">
        <v>10</v>
      </c>
      <c r="D456" s="2" t="inlineStr">
        <is>
          <t>2026-01-19 23:26:00</t>
        </is>
      </c>
      <c r="E456" s="2" t="n">
        <v>499</v>
      </c>
      <c r="F456" s="2" t="inlineStr">
        <is>
          <t>Wallet</t>
        </is>
      </c>
      <c r="G456" s="2" t="inlineStr">
        <is>
          <t>captured</t>
        </is>
      </c>
      <c r="H456" s="2" t="n">
        <v>25</v>
      </c>
      <c r="I456" s="2">
        <f>IFERROR(VLOOKUP(C456,Merchants!$A$2:$D$41,2,FALSE),"Merchant not found")</f>
        <v/>
      </c>
      <c r="J456" s="2">
        <f>IFERROR(VLOOKUP(C456,Merchants!$A$2:$D$41,3,FALSE),"Merchant not found")</f>
        <v/>
      </c>
      <c r="K456" s="2">
        <f>IFERROR(VLOOKUP(C456,Merchants!$A$2:$D$41,4,FALSE),"Merchant not found")</f>
        <v/>
      </c>
      <c r="L456" s="2">
        <f>IFERROR(HLOOKUP(F456,Fee_Tiers!$B$4:$E$5,2,FALSE),0)</f>
        <v/>
      </c>
      <c r="M456" s="2">
        <f>IF(AND(E456&gt;500,K456&lt;&gt;"East"),"High-Value Merchant Day",IF(AND(E456&gt;500,K456="East"),"High-Value East (Excluded)",IF(E456&lt;=500,"Standard","Unknown")))</f>
        <v/>
      </c>
    </row>
    <row r="457">
      <c r="A457" s="2" t="inlineStr">
        <is>
          <t>TXN100455</t>
        </is>
      </c>
      <c r="B457" s="2" t="n">
        <v>292</v>
      </c>
      <c r="C457" s="2" t="n">
        <v>16</v>
      </c>
      <c r="D457" s="2" t="inlineStr">
        <is>
          <t>2026-01-11 07:24:00</t>
        </is>
      </c>
      <c r="E457" s="2" t="n">
        <v>499</v>
      </c>
      <c r="F457" s="2" t="inlineStr">
        <is>
          <t>Netbanking</t>
        </is>
      </c>
      <c r="G457" s="2" t="inlineStr">
        <is>
          <t>captured</t>
        </is>
      </c>
      <c r="H457" s="2" t="n">
        <v>63</v>
      </c>
      <c r="I457" s="2">
        <f>IFERROR(VLOOKUP(C457,Merchants!$A$2:$D$41,2,FALSE),"Merchant not found")</f>
        <v/>
      </c>
      <c r="J457" s="2">
        <f>IFERROR(VLOOKUP(C457,Merchants!$A$2:$D$41,3,FALSE),"Merchant not found")</f>
        <v/>
      </c>
      <c r="K457" s="2">
        <f>IFERROR(VLOOKUP(C457,Merchants!$A$2:$D$41,4,FALSE),"Merchant not found")</f>
        <v/>
      </c>
      <c r="L457" s="2">
        <f>IFERROR(HLOOKUP(F457,Fee_Tiers!$B$4:$E$5,2,FALSE),0)</f>
        <v/>
      </c>
      <c r="M457" s="2">
        <f>IF(AND(E457&gt;500,K457&lt;&gt;"East"),"High-Value Merchant Day",IF(AND(E457&gt;500,K457="East"),"High-Value East (Excluded)",IF(E457&lt;=500,"Standard","Unknown")))</f>
        <v/>
      </c>
    </row>
    <row r="458">
      <c r="A458" s="2" t="inlineStr">
        <is>
          <t>TXN100456</t>
        </is>
      </c>
      <c r="B458" s="2" t="n">
        <v>173</v>
      </c>
      <c r="C458" s="2" t="n">
        <v>17</v>
      </c>
      <c r="D458" s="2" t="inlineStr">
        <is>
          <t>2026-01-18 20:43:00</t>
        </is>
      </c>
      <c r="E458" s="2" t="n">
        <v>99</v>
      </c>
      <c r="F458" s="2" t="inlineStr">
        <is>
          <t>Netbanking</t>
        </is>
      </c>
      <c r="G458" s="2" t="inlineStr">
        <is>
          <t>captured</t>
        </is>
      </c>
      <c r="H458" s="2" t="n">
        <v>97</v>
      </c>
      <c r="I458" s="2">
        <f>IFERROR(VLOOKUP(C458,Merchants!$A$2:$D$41,2,FALSE),"Merchant not found")</f>
        <v/>
      </c>
      <c r="J458" s="2">
        <f>IFERROR(VLOOKUP(C458,Merchants!$A$2:$D$41,3,FALSE),"Merchant not found")</f>
        <v/>
      </c>
      <c r="K458" s="2">
        <f>IFERROR(VLOOKUP(C458,Merchants!$A$2:$D$41,4,FALSE),"Merchant not found")</f>
        <v/>
      </c>
      <c r="L458" s="2">
        <f>IFERROR(HLOOKUP(F458,Fee_Tiers!$B$4:$E$5,2,FALSE),0)</f>
        <v/>
      </c>
      <c r="M458" s="2">
        <f>IF(AND(E458&gt;500,K458&lt;&gt;"East"),"High-Value Merchant Day",IF(AND(E458&gt;500,K458="East"),"High-Value East (Excluded)",IF(E458&lt;=500,"Standard","Unknown")))</f>
        <v/>
      </c>
    </row>
    <row r="459">
      <c r="A459" s="2" t="inlineStr">
        <is>
          <t>TXN100457</t>
        </is>
      </c>
      <c r="B459" s="2" t="n">
        <v>329</v>
      </c>
      <c r="C459" s="2" t="n">
        <v>32</v>
      </c>
      <c r="D459" s="2" t="inlineStr">
        <is>
          <t>2026-01-27 15:46:00</t>
        </is>
      </c>
      <c r="E459" s="2" t="n">
        <v>1499</v>
      </c>
      <c r="F459" s="2" t="inlineStr">
        <is>
          <t>UPI</t>
        </is>
      </c>
      <c r="G459" s="2" t="inlineStr">
        <is>
          <t>captured</t>
        </is>
      </c>
      <c r="H459" s="2" t="n">
        <v>58</v>
      </c>
      <c r="I459" s="2">
        <f>IFERROR(VLOOKUP(C459,Merchants!$A$2:$D$41,2,FALSE),"Merchant not found")</f>
        <v/>
      </c>
      <c r="J459" s="2">
        <f>IFERROR(VLOOKUP(C459,Merchants!$A$2:$D$41,3,FALSE),"Merchant not found")</f>
        <v/>
      </c>
      <c r="K459" s="2">
        <f>IFERROR(VLOOKUP(C459,Merchants!$A$2:$D$41,4,FALSE),"Merchant not found")</f>
        <v/>
      </c>
      <c r="L459" s="2">
        <f>IFERROR(HLOOKUP(F459,Fee_Tiers!$B$4:$E$5,2,FALSE),0)</f>
        <v/>
      </c>
      <c r="M459" s="2">
        <f>IF(AND(E459&gt;500,K459&lt;&gt;"East"),"High-Value Merchant Day",IF(AND(E459&gt;500,K459="East"),"High-Value East (Excluded)",IF(E459&lt;=500,"Standard","Unknown")))</f>
        <v/>
      </c>
    </row>
    <row r="460">
      <c r="A460" s="2" t="inlineStr">
        <is>
          <t>TXN100458</t>
        </is>
      </c>
      <c r="B460" s="2" t="n">
        <v>181</v>
      </c>
      <c r="C460" s="2" t="n">
        <v>11</v>
      </c>
      <c r="D460" s="2" t="inlineStr">
        <is>
          <t>2026-01-06 23:50:00</t>
        </is>
      </c>
      <c r="E460" s="2" t="n">
        <v>1499</v>
      </c>
      <c r="F460" s="2" t="inlineStr">
        <is>
          <t>UPI</t>
        </is>
      </c>
      <c r="G460" s="2" t="inlineStr">
        <is>
          <t>captured</t>
        </is>
      </c>
      <c r="H460" s="2" t="n">
        <v>17</v>
      </c>
      <c r="I460" s="2">
        <f>IFERROR(VLOOKUP(C460,Merchants!$A$2:$D$41,2,FALSE),"Merchant not found")</f>
        <v/>
      </c>
      <c r="J460" s="2">
        <f>IFERROR(VLOOKUP(C460,Merchants!$A$2:$D$41,3,FALSE),"Merchant not found")</f>
        <v/>
      </c>
      <c r="K460" s="2">
        <f>IFERROR(VLOOKUP(C460,Merchants!$A$2:$D$41,4,FALSE),"Merchant not found")</f>
        <v/>
      </c>
      <c r="L460" s="2">
        <f>IFERROR(HLOOKUP(F460,Fee_Tiers!$B$4:$E$5,2,FALSE),0)</f>
        <v/>
      </c>
      <c r="M460" s="2">
        <f>IF(AND(E460&gt;500,K460&lt;&gt;"East"),"High-Value Merchant Day",IF(AND(E460&gt;500,K460="East"),"High-Value East (Excluded)",IF(E460&lt;=500,"Standard","Unknown")))</f>
        <v/>
      </c>
    </row>
    <row r="461">
      <c r="A461" s="2" t="inlineStr">
        <is>
          <t>TXN100459</t>
        </is>
      </c>
      <c r="B461" s="2" t="n">
        <v>95</v>
      </c>
      <c r="C461" s="2" t="n">
        <v>35</v>
      </c>
      <c r="D461" s="2" t="inlineStr">
        <is>
          <t>2026-01-24 17:31:00</t>
        </is>
      </c>
      <c r="E461" s="2" t="n">
        <v>149</v>
      </c>
      <c r="F461" s="2" t="inlineStr">
        <is>
          <t>Wallet</t>
        </is>
      </c>
      <c r="G461" s="2" t="inlineStr">
        <is>
          <t>captured</t>
        </is>
      </c>
      <c r="H461" s="2" t="n">
        <v>82</v>
      </c>
      <c r="I461" s="2">
        <f>IFERROR(VLOOKUP(C461,Merchants!$A$2:$D$41,2,FALSE),"Merchant not found")</f>
        <v/>
      </c>
      <c r="J461" s="2">
        <f>IFERROR(VLOOKUP(C461,Merchants!$A$2:$D$41,3,FALSE),"Merchant not found")</f>
        <v/>
      </c>
      <c r="K461" s="2">
        <f>IFERROR(VLOOKUP(C461,Merchants!$A$2:$D$41,4,FALSE),"Merchant not found")</f>
        <v/>
      </c>
      <c r="L461" s="2">
        <f>IFERROR(HLOOKUP(F461,Fee_Tiers!$B$4:$E$5,2,FALSE),0)</f>
        <v/>
      </c>
      <c r="M461" s="2">
        <f>IF(AND(E461&gt;500,K461&lt;&gt;"East"),"High-Value Merchant Day",IF(AND(E461&gt;500,K461="East"),"High-Value East (Excluded)",IF(E461&lt;=500,"Standard","Unknown")))</f>
        <v/>
      </c>
    </row>
    <row r="462">
      <c r="A462" s="2" t="inlineStr">
        <is>
          <t>TXN100460</t>
        </is>
      </c>
      <c r="B462" s="2" t="n">
        <v>39</v>
      </c>
      <c r="C462" s="2" t="n">
        <v>4</v>
      </c>
      <c r="D462" s="2" t="inlineStr">
        <is>
          <t>2026-01-02 16:02:00</t>
        </is>
      </c>
      <c r="E462" s="2" t="n">
        <v>149</v>
      </c>
      <c r="F462" s="2" t="inlineStr">
        <is>
          <t>Netbanking</t>
        </is>
      </c>
      <c r="G462" s="2" t="inlineStr">
        <is>
          <t>captured</t>
        </is>
      </c>
      <c r="H462" s="2" t="n">
        <v>97</v>
      </c>
      <c r="I462" s="2">
        <f>IFERROR(VLOOKUP(C462,Merchants!$A$2:$D$41,2,FALSE),"Merchant not found")</f>
        <v/>
      </c>
      <c r="J462" s="2">
        <f>IFERROR(VLOOKUP(C462,Merchants!$A$2:$D$41,3,FALSE),"Merchant not found")</f>
        <v/>
      </c>
      <c r="K462" s="2">
        <f>IFERROR(VLOOKUP(C462,Merchants!$A$2:$D$41,4,FALSE),"Merchant not found")</f>
        <v/>
      </c>
      <c r="L462" s="2">
        <f>IFERROR(HLOOKUP(F462,Fee_Tiers!$B$4:$E$5,2,FALSE),0)</f>
        <v/>
      </c>
      <c r="M462" s="2">
        <f>IF(AND(E462&gt;500,K462&lt;&gt;"East"),"High-Value Merchant Day",IF(AND(E462&gt;500,K462="East"),"High-Value East (Excluded)",IF(E462&lt;=500,"Standard","Unknown")))</f>
        <v/>
      </c>
    </row>
    <row r="463">
      <c r="A463" s="2" t="inlineStr">
        <is>
          <t>TXN100461</t>
        </is>
      </c>
      <c r="B463" s="2" t="n">
        <v>323</v>
      </c>
      <c r="C463" s="2" t="n">
        <v>15</v>
      </c>
      <c r="D463" s="2" t="inlineStr">
        <is>
          <t>2026-01-01 13:08:00</t>
        </is>
      </c>
      <c r="E463" s="2" t="n">
        <v>499</v>
      </c>
      <c r="F463" s="2" t="inlineStr">
        <is>
          <t>UPI</t>
        </is>
      </c>
      <c r="G463" s="2" t="inlineStr">
        <is>
          <t>captured</t>
        </is>
      </c>
      <c r="H463" s="2" t="n">
        <v>8</v>
      </c>
      <c r="I463" s="2">
        <f>IFERROR(VLOOKUP(C463,Merchants!$A$2:$D$41,2,FALSE),"Merchant not found")</f>
        <v/>
      </c>
      <c r="J463" s="2">
        <f>IFERROR(VLOOKUP(C463,Merchants!$A$2:$D$41,3,FALSE),"Merchant not found")</f>
        <v/>
      </c>
      <c r="K463" s="2">
        <f>IFERROR(VLOOKUP(C463,Merchants!$A$2:$D$41,4,FALSE),"Merchant not found")</f>
        <v/>
      </c>
      <c r="L463" s="2">
        <f>IFERROR(HLOOKUP(F463,Fee_Tiers!$B$4:$E$5,2,FALSE),0)</f>
        <v/>
      </c>
      <c r="M463" s="2">
        <f>IF(AND(E463&gt;500,K463&lt;&gt;"East"),"High-Value Merchant Day",IF(AND(E463&gt;500,K463="East"),"High-Value East (Excluded)",IF(E463&lt;=500,"Standard","Unknown")))</f>
        <v/>
      </c>
    </row>
    <row r="464">
      <c r="A464" s="2" t="inlineStr">
        <is>
          <t>TXN100462</t>
        </is>
      </c>
      <c r="B464" s="2" t="n">
        <v>112</v>
      </c>
      <c r="C464" s="2" t="n">
        <v>33</v>
      </c>
      <c r="D464" s="2" t="inlineStr">
        <is>
          <t>2026-01-23 04:00:00</t>
        </is>
      </c>
      <c r="E464" s="2" t="n">
        <v>49</v>
      </c>
      <c r="F464" s="2" t="inlineStr">
        <is>
          <t>Netbanking</t>
        </is>
      </c>
      <c r="G464" s="2" t="inlineStr">
        <is>
          <t>captured</t>
        </is>
      </c>
      <c r="H464" s="2" t="n">
        <v>58</v>
      </c>
      <c r="I464" s="2">
        <f>IFERROR(VLOOKUP(C464,Merchants!$A$2:$D$41,2,FALSE),"Merchant not found")</f>
        <v/>
      </c>
      <c r="J464" s="2">
        <f>IFERROR(VLOOKUP(C464,Merchants!$A$2:$D$41,3,FALSE),"Merchant not found")</f>
        <v/>
      </c>
      <c r="K464" s="2">
        <f>IFERROR(VLOOKUP(C464,Merchants!$A$2:$D$41,4,FALSE),"Merchant not found")</f>
        <v/>
      </c>
      <c r="L464" s="2">
        <f>IFERROR(HLOOKUP(F464,Fee_Tiers!$B$4:$E$5,2,FALSE),0)</f>
        <v/>
      </c>
      <c r="M464" s="2">
        <f>IF(AND(E464&gt;500,K464&lt;&gt;"East"),"High-Value Merchant Day",IF(AND(E464&gt;500,K464="East"),"High-Value East (Excluded)",IF(E464&lt;=500,"Standard","Unknown")))</f>
        <v/>
      </c>
    </row>
    <row r="465">
      <c r="A465" s="2" t="inlineStr">
        <is>
          <t>TXN100463</t>
        </is>
      </c>
      <c r="B465" s="2" t="n">
        <v>327</v>
      </c>
      <c r="C465" s="2" t="n">
        <v>40</v>
      </c>
      <c r="D465" s="2" t="inlineStr">
        <is>
          <t>2026-01-12 01:39:00</t>
        </is>
      </c>
      <c r="E465" s="2" t="n">
        <v>99</v>
      </c>
      <c r="F465" s="2" t="inlineStr">
        <is>
          <t>UPI</t>
        </is>
      </c>
      <c r="G465" s="2" t="inlineStr">
        <is>
          <t>captured</t>
        </is>
      </c>
      <c r="H465" s="2" t="n">
        <v>61</v>
      </c>
      <c r="I465" s="2">
        <f>IFERROR(VLOOKUP(C465,Merchants!$A$2:$D$41,2,FALSE),"Merchant not found")</f>
        <v/>
      </c>
      <c r="J465" s="2">
        <f>IFERROR(VLOOKUP(C465,Merchants!$A$2:$D$41,3,FALSE),"Merchant not found")</f>
        <v/>
      </c>
      <c r="K465" s="2">
        <f>IFERROR(VLOOKUP(C465,Merchants!$A$2:$D$41,4,FALSE),"Merchant not found")</f>
        <v/>
      </c>
      <c r="L465" s="2">
        <f>IFERROR(HLOOKUP(F465,Fee_Tiers!$B$4:$E$5,2,FALSE),0)</f>
        <v/>
      </c>
      <c r="M465" s="2">
        <f>IF(AND(E465&gt;500,K465&lt;&gt;"East"),"High-Value Merchant Day",IF(AND(E465&gt;500,K465="East"),"High-Value East (Excluded)",IF(E465&lt;=500,"Standard","Unknown")))</f>
        <v/>
      </c>
    </row>
    <row r="466">
      <c r="A466" s="2" t="inlineStr">
        <is>
          <t>TXN100464</t>
        </is>
      </c>
      <c r="B466" s="2" t="n">
        <v>4</v>
      </c>
      <c r="C466" s="2" t="n">
        <v>35</v>
      </c>
      <c r="D466" s="2" t="inlineStr">
        <is>
          <t>2026-01-22 15:01:00</t>
        </is>
      </c>
      <c r="E466" s="2" t="n">
        <v>299</v>
      </c>
      <c r="F466" s="2" t="inlineStr">
        <is>
          <t>UPI</t>
        </is>
      </c>
      <c r="G466" s="2" t="inlineStr">
        <is>
          <t>captured</t>
        </is>
      </c>
      <c r="H466" s="2" t="n">
        <v>70</v>
      </c>
      <c r="I466" s="2">
        <f>IFERROR(VLOOKUP(C466,Merchants!$A$2:$D$41,2,FALSE),"Merchant not found")</f>
        <v/>
      </c>
      <c r="J466" s="2">
        <f>IFERROR(VLOOKUP(C466,Merchants!$A$2:$D$41,3,FALSE),"Merchant not found")</f>
        <v/>
      </c>
      <c r="K466" s="2">
        <f>IFERROR(VLOOKUP(C466,Merchants!$A$2:$D$41,4,FALSE),"Merchant not found")</f>
        <v/>
      </c>
      <c r="L466" s="2">
        <f>IFERROR(HLOOKUP(F466,Fee_Tiers!$B$4:$E$5,2,FALSE),0)</f>
        <v/>
      </c>
      <c r="M466" s="2">
        <f>IF(AND(E466&gt;500,K466&lt;&gt;"East"),"High-Value Merchant Day",IF(AND(E466&gt;500,K466="East"),"High-Value East (Excluded)",IF(E466&lt;=500,"Standard","Unknown")))</f>
        <v/>
      </c>
    </row>
    <row r="467">
      <c r="A467" s="2" t="inlineStr">
        <is>
          <t>TXN100465</t>
        </is>
      </c>
      <c r="B467" s="2" t="n">
        <v>272</v>
      </c>
      <c r="C467" s="2" t="n">
        <v>18</v>
      </c>
      <c r="D467" s="2" t="inlineStr">
        <is>
          <t>2026-01-14 00:01:00</t>
        </is>
      </c>
      <c r="E467" s="2" t="n">
        <v>149</v>
      </c>
      <c r="F467" s="2" t="inlineStr">
        <is>
          <t>UPI</t>
        </is>
      </c>
      <c r="G467" s="2" t="inlineStr">
        <is>
          <t>captured</t>
        </is>
      </c>
      <c r="H467" s="2" t="n">
        <v>68</v>
      </c>
      <c r="I467" s="2">
        <f>IFERROR(VLOOKUP(C467,Merchants!$A$2:$D$41,2,FALSE),"Merchant not found")</f>
        <v/>
      </c>
      <c r="J467" s="2">
        <f>IFERROR(VLOOKUP(C467,Merchants!$A$2:$D$41,3,FALSE),"Merchant not found")</f>
        <v/>
      </c>
      <c r="K467" s="2">
        <f>IFERROR(VLOOKUP(C467,Merchants!$A$2:$D$41,4,FALSE),"Merchant not found")</f>
        <v/>
      </c>
      <c r="L467" s="2">
        <f>IFERROR(HLOOKUP(F467,Fee_Tiers!$B$4:$E$5,2,FALSE),0)</f>
        <v/>
      </c>
      <c r="M467" s="2">
        <f>IF(AND(E467&gt;500,K467&lt;&gt;"East"),"High-Value Merchant Day",IF(AND(E467&gt;500,K467="East"),"High-Value East (Excluded)",IF(E467&lt;=500,"Standard","Unknown")))</f>
        <v/>
      </c>
    </row>
    <row r="468">
      <c r="A468" s="2" t="inlineStr">
        <is>
          <t>TXN100466</t>
        </is>
      </c>
      <c r="B468" s="2" t="n">
        <v>346</v>
      </c>
      <c r="C468" s="2" t="n">
        <v>28</v>
      </c>
      <c r="D468" s="2" t="inlineStr">
        <is>
          <t>2026-01-10 00:32:00</t>
        </is>
      </c>
      <c r="E468" s="2" t="n">
        <v>499</v>
      </c>
      <c r="F468" s="2" t="inlineStr">
        <is>
          <t>UPI</t>
        </is>
      </c>
      <c r="G468" s="2" t="inlineStr">
        <is>
          <t>captured</t>
        </is>
      </c>
      <c r="H468" s="2" t="n">
        <v>22</v>
      </c>
      <c r="I468" s="2">
        <f>IFERROR(VLOOKUP(C468,Merchants!$A$2:$D$41,2,FALSE),"Merchant not found")</f>
        <v/>
      </c>
      <c r="J468" s="2">
        <f>IFERROR(VLOOKUP(C468,Merchants!$A$2:$D$41,3,FALSE),"Merchant not found")</f>
        <v/>
      </c>
      <c r="K468" s="2">
        <f>IFERROR(VLOOKUP(C468,Merchants!$A$2:$D$41,4,FALSE),"Merchant not found")</f>
        <v/>
      </c>
      <c r="L468" s="2">
        <f>IFERROR(HLOOKUP(F468,Fee_Tiers!$B$4:$E$5,2,FALSE),0)</f>
        <v/>
      </c>
      <c r="M468" s="2">
        <f>IF(AND(E468&gt;500,K468&lt;&gt;"East"),"High-Value Merchant Day",IF(AND(E468&gt;500,K468="East"),"High-Value East (Excluded)",IF(E468&lt;=500,"Standard","Unknown")))</f>
        <v/>
      </c>
    </row>
    <row r="469">
      <c r="A469" s="2" t="inlineStr">
        <is>
          <t>TXN100467</t>
        </is>
      </c>
      <c r="B469" s="2" t="n">
        <v>77</v>
      </c>
      <c r="C469" s="2" t="n">
        <v>16</v>
      </c>
      <c r="D469" s="2" t="inlineStr">
        <is>
          <t>2026-01-04 03:33:00</t>
        </is>
      </c>
      <c r="E469" s="2" t="n">
        <v>49</v>
      </c>
      <c r="F469" s="2" t="inlineStr">
        <is>
          <t>Wallet</t>
        </is>
      </c>
      <c r="G469" s="2" t="inlineStr">
        <is>
          <t>captured</t>
        </is>
      </c>
      <c r="H469" s="2" t="n">
        <v>24</v>
      </c>
      <c r="I469" s="2">
        <f>IFERROR(VLOOKUP(C469,Merchants!$A$2:$D$41,2,FALSE),"Merchant not found")</f>
        <v/>
      </c>
      <c r="J469" s="2">
        <f>IFERROR(VLOOKUP(C469,Merchants!$A$2:$D$41,3,FALSE),"Merchant not found")</f>
        <v/>
      </c>
      <c r="K469" s="2">
        <f>IFERROR(VLOOKUP(C469,Merchants!$A$2:$D$41,4,FALSE),"Merchant not found")</f>
        <v/>
      </c>
      <c r="L469" s="2">
        <f>IFERROR(HLOOKUP(F469,Fee_Tiers!$B$4:$E$5,2,FALSE),0)</f>
        <v/>
      </c>
      <c r="M469" s="2">
        <f>IF(AND(E469&gt;500,K469&lt;&gt;"East"),"High-Value Merchant Day",IF(AND(E469&gt;500,K469="East"),"High-Value East (Excluded)",IF(E469&lt;=500,"Standard","Unknown")))</f>
        <v/>
      </c>
    </row>
    <row r="470">
      <c r="A470" s="2" t="inlineStr">
        <is>
          <t>TXN100468</t>
        </is>
      </c>
      <c r="B470" s="2" t="n">
        <v>182</v>
      </c>
      <c r="C470" s="2" t="n">
        <v>18</v>
      </c>
      <c r="D470" s="2" t="inlineStr">
        <is>
          <t>2026-01-20 16:16:00</t>
        </is>
      </c>
      <c r="E470" s="2" t="n">
        <v>149</v>
      </c>
      <c r="F470" s="2" t="inlineStr">
        <is>
          <t>Card</t>
        </is>
      </c>
      <c r="G470" s="2" t="inlineStr">
        <is>
          <t>captured</t>
        </is>
      </c>
      <c r="H470" s="2" t="n">
        <v>50</v>
      </c>
      <c r="I470" s="2">
        <f>IFERROR(VLOOKUP(C470,Merchants!$A$2:$D$41,2,FALSE),"Merchant not found")</f>
        <v/>
      </c>
      <c r="J470" s="2">
        <f>IFERROR(VLOOKUP(C470,Merchants!$A$2:$D$41,3,FALSE),"Merchant not found")</f>
        <v/>
      </c>
      <c r="K470" s="2">
        <f>IFERROR(VLOOKUP(C470,Merchants!$A$2:$D$41,4,FALSE),"Merchant not found")</f>
        <v/>
      </c>
      <c r="L470" s="2">
        <f>IFERROR(HLOOKUP(F470,Fee_Tiers!$B$4:$E$5,2,FALSE),0)</f>
        <v/>
      </c>
      <c r="M470" s="2">
        <f>IF(AND(E470&gt;500,K470&lt;&gt;"East"),"High-Value Merchant Day",IF(AND(E470&gt;500,K470="East"),"High-Value East (Excluded)",IF(E470&lt;=500,"Standard","Unknown")))</f>
        <v/>
      </c>
    </row>
    <row r="471">
      <c r="A471" s="2" t="inlineStr">
        <is>
          <t>TXN100469</t>
        </is>
      </c>
      <c r="B471" s="2" t="n">
        <v>236</v>
      </c>
      <c r="C471" s="2" t="n">
        <v>37</v>
      </c>
      <c r="D471" s="2" t="inlineStr">
        <is>
          <t>2026-01-03 11:25:00</t>
        </is>
      </c>
      <c r="E471" s="2" t="n">
        <v>299</v>
      </c>
      <c r="F471" s="2" t="inlineStr">
        <is>
          <t>Card</t>
        </is>
      </c>
      <c r="G471" s="2" t="inlineStr">
        <is>
          <t>captured</t>
        </is>
      </c>
      <c r="H471" s="2" t="n">
        <v>31</v>
      </c>
      <c r="I471" s="2">
        <f>IFERROR(VLOOKUP(C471,Merchants!$A$2:$D$41,2,FALSE),"Merchant not found")</f>
        <v/>
      </c>
      <c r="J471" s="2">
        <f>IFERROR(VLOOKUP(C471,Merchants!$A$2:$D$41,3,FALSE),"Merchant not found")</f>
        <v/>
      </c>
      <c r="K471" s="2">
        <f>IFERROR(VLOOKUP(C471,Merchants!$A$2:$D$41,4,FALSE),"Merchant not found")</f>
        <v/>
      </c>
      <c r="L471" s="2">
        <f>IFERROR(HLOOKUP(F471,Fee_Tiers!$B$4:$E$5,2,FALSE),0)</f>
        <v/>
      </c>
      <c r="M471" s="2">
        <f>IF(AND(E471&gt;500,K471&lt;&gt;"East"),"High-Value Merchant Day",IF(AND(E471&gt;500,K471="East"),"High-Value East (Excluded)",IF(E471&lt;=500,"Standard","Unknown")))</f>
        <v/>
      </c>
    </row>
    <row r="472">
      <c r="A472" s="2" t="inlineStr">
        <is>
          <t>TXN100470</t>
        </is>
      </c>
      <c r="B472" s="2" t="n">
        <v>42</v>
      </c>
      <c r="C472" s="2" t="n">
        <v>3</v>
      </c>
      <c r="D472" s="2" t="inlineStr">
        <is>
          <t>2026-01-23 07:19:00</t>
        </is>
      </c>
      <c r="E472" s="2" t="n">
        <v>49</v>
      </c>
      <c r="F472" s="2" t="inlineStr">
        <is>
          <t>UPI</t>
        </is>
      </c>
      <c r="G472" s="2" t="inlineStr">
        <is>
          <t>captured</t>
        </is>
      </c>
      <c r="H472" s="2" t="n">
        <v>11</v>
      </c>
      <c r="I472" s="2">
        <f>IFERROR(VLOOKUP(C472,Merchants!$A$2:$D$41,2,FALSE),"Merchant not found")</f>
        <v/>
      </c>
      <c r="J472" s="2">
        <f>IFERROR(VLOOKUP(C472,Merchants!$A$2:$D$41,3,FALSE),"Merchant not found")</f>
        <v/>
      </c>
      <c r="K472" s="2">
        <f>IFERROR(VLOOKUP(C472,Merchants!$A$2:$D$41,4,FALSE),"Merchant not found")</f>
        <v/>
      </c>
      <c r="L472" s="2">
        <f>IFERROR(HLOOKUP(F472,Fee_Tiers!$B$4:$E$5,2,FALSE),0)</f>
        <v/>
      </c>
      <c r="M472" s="2">
        <f>IF(AND(E472&gt;500,K472&lt;&gt;"East"),"High-Value Merchant Day",IF(AND(E472&gt;500,K472="East"),"High-Value East (Excluded)",IF(E472&lt;=500,"Standard","Unknown")))</f>
        <v/>
      </c>
    </row>
    <row r="473">
      <c r="A473" s="2" t="inlineStr">
        <is>
          <t>TXN100471</t>
        </is>
      </c>
      <c r="B473" s="2" t="n">
        <v>283</v>
      </c>
      <c r="C473" s="2" t="n">
        <v>31</v>
      </c>
      <c r="D473" s="2" t="inlineStr">
        <is>
          <t>2026-01-13 12:24:00</t>
        </is>
      </c>
      <c r="E473" s="2" t="n">
        <v>299</v>
      </c>
      <c r="F473" s="2" t="inlineStr">
        <is>
          <t>Netbanking</t>
        </is>
      </c>
      <c r="G473" s="2" t="inlineStr">
        <is>
          <t>captured</t>
        </is>
      </c>
      <c r="H473" s="2" t="n">
        <v>7</v>
      </c>
      <c r="I473" s="2">
        <f>IFERROR(VLOOKUP(C473,Merchants!$A$2:$D$41,2,FALSE),"Merchant not found")</f>
        <v/>
      </c>
      <c r="J473" s="2">
        <f>IFERROR(VLOOKUP(C473,Merchants!$A$2:$D$41,3,FALSE),"Merchant not found")</f>
        <v/>
      </c>
      <c r="K473" s="2">
        <f>IFERROR(VLOOKUP(C473,Merchants!$A$2:$D$41,4,FALSE),"Merchant not found")</f>
        <v/>
      </c>
      <c r="L473" s="2">
        <f>IFERROR(HLOOKUP(F473,Fee_Tiers!$B$4:$E$5,2,FALSE),0)</f>
        <v/>
      </c>
      <c r="M473" s="2">
        <f>IF(AND(E473&gt;500,K473&lt;&gt;"East"),"High-Value Merchant Day",IF(AND(E473&gt;500,K473="East"),"High-Value East (Excluded)",IF(E473&lt;=500,"Standard","Unknown")))</f>
        <v/>
      </c>
    </row>
    <row r="474">
      <c r="A474" s="2" t="inlineStr">
        <is>
          <t>TXN100472</t>
        </is>
      </c>
      <c r="B474" s="2" t="n">
        <v>88</v>
      </c>
      <c r="C474" s="2" t="n">
        <v>6</v>
      </c>
      <c r="D474" s="2" t="inlineStr">
        <is>
          <t>2026-01-21 00:44:00</t>
        </is>
      </c>
      <c r="E474" s="2" t="n">
        <v>49</v>
      </c>
      <c r="F474" s="2" t="inlineStr">
        <is>
          <t>UPI</t>
        </is>
      </c>
      <c r="G474" s="2" t="inlineStr">
        <is>
          <t>captured</t>
        </is>
      </c>
      <c r="H474" s="2" t="n">
        <v>63</v>
      </c>
      <c r="I474" s="2">
        <f>IFERROR(VLOOKUP(C474,Merchants!$A$2:$D$41,2,FALSE),"Merchant not found")</f>
        <v/>
      </c>
      <c r="J474" s="2">
        <f>IFERROR(VLOOKUP(C474,Merchants!$A$2:$D$41,3,FALSE),"Merchant not found")</f>
        <v/>
      </c>
      <c r="K474" s="2">
        <f>IFERROR(VLOOKUP(C474,Merchants!$A$2:$D$41,4,FALSE),"Merchant not found")</f>
        <v/>
      </c>
      <c r="L474" s="2">
        <f>IFERROR(HLOOKUP(F474,Fee_Tiers!$B$4:$E$5,2,FALSE),0)</f>
        <v/>
      </c>
      <c r="M474" s="2">
        <f>IF(AND(E474&gt;500,K474&lt;&gt;"East"),"High-Value Merchant Day",IF(AND(E474&gt;500,K474="East"),"High-Value East (Excluded)",IF(E474&lt;=500,"Standard","Unknown")))</f>
        <v/>
      </c>
    </row>
    <row r="475">
      <c r="A475" s="2" t="inlineStr">
        <is>
          <t>TXN100473</t>
        </is>
      </c>
      <c r="B475" s="2" t="n">
        <v>170</v>
      </c>
      <c r="C475" s="2" t="n">
        <v>37</v>
      </c>
      <c r="D475" s="2" t="inlineStr">
        <is>
          <t>2026-01-28 13:41:00</t>
        </is>
      </c>
      <c r="E475" s="2" t="n">
        <v>99</v>
      </c>
      <c r="F475" s="2" t="inlineStr">
        <is>
          <t>UPI</t>
        </is>
      </c>
      <c r="G475" s="2" t="inlineStr">
        <is>
          <t>failed</t>
        </is>
      </c>
      <c r="H475" s="2" t="n">
        <v>12</v>
      </c>
      <c r="I475" s="2">
        <f>IFERROR(VLOOKUP(C475,Merchants!$A$2:$D$41,2,FALSE),"Merchant not found")</f>
        <v/>
      </c>
      <c r="J475" s="2">
        <f>IFERROR(VLOOKUP(C475,Merchants!$A$2:$D$41,3,FALSE),"Merchant not found")</f>
        <v/>
      </c>
      <c r="K475" s="2">
        <f>IFERROR(VLOOKUP(C475,Merchants!$A$2:$D$41,4,FALSE),"Merchant not found")</f>
        <v/>
      </c>
      <c r="L475" s="2">
        <f>IFERROR(HLOOKUP(F475,Fee_Tiers!$B$4:$E$5,2,FALSE),0)</f>
        <v/>
      </c>
      <c r="M475" s="2">
        <f>IF(AND(E475&gt;500,K475&lt;&gt;"East"),"High-Value Merchant Day",IF(AND(E475&gt;500,K475="East"),"High-Value East (Excluded)",IF(E475&lt;=500,"Standard","Unknown")))</f>
        <v/>
      </c>
    </row>
    <row r="476">
      <c r="A476" s="2" t="inlineStr">
        <is>
          <t>TXN100474</t>
        </is>
      </c>
      <c r="B476" s="2" t="n">
        <v>22</v>
      </c>
      <c r="C476" s="2" t="n">
        <v>15</v>
      </c>
      <c r="D476" s="2" t="inlineStr">
        <is>
          <t>2026-01-29 16:58:00</t>
        </is>
      </c>
      <c r="E476" s="2" t="n">
        <v>49</v>
      </c>
      <c r="F476" s="2" t="inlineStr">
        <is>
          <t>Netbanking</t>
        </is>
      </c>
      <c r="G476" s="2" t="inlineStr">
        <is>
          <t>captured</t>
        </is>
      </c>
      <c r="H476" s="2" t="n">
        <v>27</v>
      </c>
      <c r="I476" s="2">
        <f>IFERROR(VLOOKUP(C476,Merchants!$A$2:$D$41,2,FALSE),"Merchant not found")</f>
        <v/>
      </c>
      <c r="J476" s="2">
        <f>IFERROR(VLOOKUP(C476,Merchants!$A$2:$D$41,3,FALSE),"Merchant not found")</f>
        <v/>
      </c>
      <c r="K476" s="2">
        <f>IFERROR(VLOOKUP(C476,Merchants!$A$2:$D$41,4,FALSE),"Merchant not found")</f>
        <v/>
      </c>
      <c r="L476" s="2">
        <f>IFERROR(HLOOKUP(F476,Fee_Tiers!$B$4:$E$5,2,FALSE),0)</f>
        <v/>
      </c>
      <c r="M476" s="2">
        <f>IF(AND(E476&gt;500,K476&lt;&gt;"East"),"High-Value Merchant Day",IF(AND(E476&gt;500,K476="East"),"High-Value East (Excluded)",IF(E476&lt;=500,"Standard","Unknown")))</f>
        <v/>
      </c>
    </row>
    <row r="477">
      <c r="A477" s="2" t="inlineStr">
        <is>
          <t>TXN100475</t>
        </is>
      </c>
      <c r="B477" s="2" t="n">
        <v>291</v>
      </c>
      <c r="C477" s="2" t="n">
        <v>31</v>
      </c>
      <c r="D477" s="2" t="inlineStr">
        <is>
          <t>2026-01-29 22:56:00</t>
        </is>
      </c>
      <c r="E477" s="2" t="n">
        <v>49</v>
      </c>
      <c r="F477" s="2" t="inlineStr">
        <is>
          <t>Netbanking</t>
        </is>
      </c>
      <c r="G477" s="2" t="inlineStr">
        <is>
          <t>failed</t>
        </is>
      </c>
      <c r="H477" s="2" t="n">
        <v>34</v>
      </c>
      <c r="I477" s="2">
        <f>IFERROR(VLOOKUP(C477,Merchants!$A$2:$D$41,2,FALSE),"Merchant not found")</f>
        <v/>
      </c>
      <c r="J477" s="2">
        <f>IFERROR(VLOOKUP(C477,Merchants!$A$2:$D$41,3,FALSE),"Merchant not found")</f>
        <v/>
      </c>
      <c r="K477" s="2">
        <f>IFERROR(VLOOKUP(C477,Merchants!$A$2:$D$41,4,FALSE),"Merchant not found")</f>
        <v/>
      </c>
      <c r="L477" s="2">
        <f>IFERROR(HLOOKUP(F477,Fee_Tiers!$B$4:$E$5,2,FALSE),0)</f>
        <v/>
      </c>
      <c r="M477" s="2">
        <f>IF(AND(E477&gt;500,K477&lt;&gt;"East"),"High-Value Merchant Day",IF(AND(E477&gt;500,K477="East"),"High-Value East (Excluded)",IF(E477&lt;=500,"Standard","Unknown")))</f>
        <v/>
      </c>
    </row>
    <row r="478">
      <c r="A478" s="2" t="inlineStr">
        <is>
          <t>TXN100476</t>
        </is>
      </c>
      <c r="B478" s="2" t="n">
        <v>144</v>
      </c>
      <c r="C478" s="2" t="n">
        <v>35</v>
      </c>
      <c r="D478" s="2" t="inlineStr">
        <is>
          <t>2026-01-02 02:43:00</t>
        </is>
      </c>
      <c r="E478" s="2" t="n">
        <v>1499</v>
      </c>
      <c r="F478" s="2" t="inlineStr">
        <is>
          <t>UPI</t>
        </is>
      </c>
      <c r="G478" s="2" t="inlineStr">
        <is>
          <t>captured</t>
        </is>
      </c>
      <c r="H478" s="2" t="n">
        <v>72</v>
      </c>
      <c r="I478" s="2">
        <f>IFERROR(VLOOKUP(C478,Merchants!$A$2:$D$41,2,FALSE),"Merchant not found")</f>
        <v/>
      </c>
      <c r="J478" s="2">
        <f>IFERROR(VLOOKUP(C478,Merchants!$A$2:$D$41,3,FALSE),"Merchant not found")</f>
        <v/>
      </c>
      <c r="K478" s="2">
        <f>IFERROR(VLOOKUP(C478,Merchants!$A$2:$D$41,4,FALSE),"Merchant not found")</f>
        <v/>
      </c>
      <c r="L478" s="2">
        <f>IFERROR(HLOOKUP(F478,Fee_Tiers!$B$4:$E$5,2,FALSE),0)</f>
        <v/>
      </c>
      <c r="M478" s="2">
        <f>IF(AND(E478&gt;500,K478&lt;&gt;"East"),"High-Value Merchant Day",IF(AND(E478&gt;500,K478="East"),"High-Value East (Excluded)",IF(E478&lt;=500,"Standard","Unknown")))</f>
        <v/>
      </c>
    </row>
    <row r="479">
      <c r="A479" s="2" t="inlineStr">
        <is>
          <t>TXN100477</t>
        </is>
      </c>
      <c r="B479" s="2" t="n">
        <v>162</v>
      </c>
      <c r="C479" s="2" t="n">
        <v>2</v>
      </c>
      <c r="D479" s="2" t="inlineStr">
        <is>
          <t>2026-01-22 01:11:00</t>
        </is>
      </c>
      <c r="E479" s="2" t="n">
        <v>299</v>
      </c>
      <c r="F479" s="2" t="inlineStr">
        <is>
          <t>Wallet</t>
        </is>
      </c>
      <c r="G479" s="2" t="inlineStr">
        <is>
          <t>captured</t>
        </is>
      </c>
      <c r="H479" s="2" t="n">
        <v>26</v>
      </c>
      <c r="I479" s="2">
        <f>IFERROR(VLOOKUP(C479,Merchants!$A$2:$D$41,2,FALSE),"Merchant not found")</f>
        <v/>
      </c>
      <c r="J479" s="2">
        <f>IFERROR(VLOOKUP(C479,Merchants!$A$2:$D$41,3,FALSE),"Merchant not found")</f>
        <v/>
      </c>
      <c r="K479" s="2">
        <f>IFERROR(VLOOKUP(C479,Merchants!$A$2:$D$41,4,FALSE),"Merchant not found")</f>
        <v/>
      </c>
      <c r="L479" s="2">
        <f>IFERROR(HLOOKUP(F479,Fee_Tiers!$B$4:$E$5,2,FALSE),0)</f>
        <v/>
      </c>
      <c r="M479" s="2">
        <f>IF(AND(E479&gt;500,K479&lt;&gt;"East"),"High-Value Merchant Day",IF(AND(E479&gt;500,K479="East"),"High-Value East (Excluded)",IF(E479&lt;=500,"Standard","Unknown")))</f>
        <v/>
      </c>
    </row>
    <row r="480">
      <c r="A480" s="2" t="inlineStr">
        <is>
          <t>TXN100478</t>
        </is>
      </c>
      <c r="B480" s="2" t="n">
        <v>204</v>
      </c>
      <c r="C480" s="2" t="n">
        <v>5</v>
      </c>
      <c r="D480" s="2" t="inlineStr">
        <is>
          <t>2026-01-19 04:48:00</t>
        </is>
      </c>
      <c r="E480" s="2" t="n">
        <v>49</v>
      </c>
      <c r="F480" s="2" t="inlineStr">
        <is>
          <t>UPI</t>
        </is>
      </c>
      <c r="G480" s="2" t="inlineStr">
        <is>
          <t>captured</t>
        </is>
      </c>
      <c r="H480" s="2" t="n">
        <v>38</v>
      </c>
      <c r="I480" s="2">
        <f>IFERROR(VLOOKUP(C480,Merchants!$A$2:$D$41,2,FALSE),"Merchant not found")</f>
        <v/>
      </c>
      <c r="J480" s="2">
        <f>IFERROR(VLOOKUP(C480,Merchants!$A$2:$D$41,3,FALSE),"Merchant not found")</f>
        <v/>
      </c>
      <c r="K480" s="2">
        <f>IFERROR(VLOOKUP(C480,Merchants!$A$2:$D$41,4,FALSE),"Merchant not found")</f>
        <v/>
      </c>
      <c r="L480" s="2">
        <f>IFERROR(HLOOKUP(F480,Fee_Tiers!$B$4:$E$5,2,FALSE),0)</f>
        <v/>
      </c>
      <c r="M480" s="2">
        <f>IF(AND(E480&gt;500,K480&lt;&gt;"East"),"High-Value Merchant Day",IF(AND(E480&gt;500,K480="East"),"High-Value East (Excluded)",IF(E480&lt;=500,"Standard","Unknown")))</f>
        <v/>
      </c>
    </row>
    <row r="481">
      <c r="A481" s="2" t="inlineStr">
        <is>
          <t>TXN100479</t>
        </is>
      </c>
      <c r="B481" s="2" t="n">
        <v>291</v>
      </c>
      <c r="C481" s="2" t="n">
        <v>25</v>
      </c>
      <c r="D481" s="2" t="inlineStr">
        <is>
          <t>2026-01-06 18:15:00</t>
        </is>
      </c>
      <c r="E481" s="2" t="n">
        <v>99</v>
      </c>
      <c r="F481" s="2" t="inlineStr">
        <is>
          <t>Wallet</t>
        </is>
      </c>
      <c r="G481" s="2" t="inlineStr">
        <is>
          <t>captured</t>
        </is>
      </c>
      <c r="H481" s="2" t="n">
        <v>86</v>
      </c>
      <c r="I481" s="2">
        <f>IFERROR(VLOOKUP(C481,Merchants!$A$2:$D$41,2,FALSE),"Merchant not found")</f>
        <v/>
      </c>
      <c r="J481" s="2">
        <f>IFERROR(VLOOKUP(C481,Merchants!$A$2:$D$41,3,FALSE),"Merchant not found")</f>
        <v/>
      </c>
      <c r="K481" s="2">
        <f>IFERROR(VLOOKUP(C481,Merchants!$A$2:$D$41,4,FALSE),"Merchant not found")</f>
        <v/>
      </c>
      <c r="L481" s="2">
        <f>IFERROR(HLOOKUP(F481,Fee_Tiers!$B$4:$E$5,2,FALSE),0)</f>
        <v/>
      </c>
      <c r="M481" s="2">
        <f>IF(AND(E481&gt;500,K481&lt;&gt;"East"),"High-Value Merchant Day",IF(AND(E481&gt;500,K481="East"),"High-Value East (Excluded)",IF(E481&lt;=500,"Standard","Unknown")))</f>
        <v/>
      </c>
    </row>
    <row r="482">
      <c r="A482" s="2" t="inlineStr">
        <is>
          <t>TXN100480</t>
        </is>
      </c>
      <c r="B482" s="2" t="n">
        <v>197</v>
      </c>
      <c r="C482" s="2" t="n">
        <v>9</v>
      </c>
      <c r="D482" s="2" t="inlineStr">
        <is>
          <t>2026-01-29 17:21:00</t>
        </is>
      </c>
      <c r="E482" s="2" t="n">
        <v>49</v>
      </c>
      <c r="F482" s="2" t="inlineStr">
        <is>
          <t>Wallet</t>
        </is>
      </c>
      <c r="G482" s="2" t="inlineStr">
        <is>
          <t>failed</t>
        </is>
      </c>
      <c r="H482" s="2" t="n">
        <v>88</v>
      </c>
      <c r="I482" s="2">
        <f>IFERROR(VLOOKUP(C482,Merchants!$A$2:$D$41,2,FALSE),"Merchant not found")</f>
        <v/>
      </c>
      <c r="J482" s="2">
        <f>IFERROR(VLOOKUP(C482,Merchants!$A$2:$D$41,3,FALSE),"Merchant not found")</f>
        <v/>
      </c>
      <c r="K482" s="2">
        <f>IFERROR(VLOOKUP(C482,Merchants!$A$2:$D$41,4,FALSE),"Merchant not found")</f>
        <v/>
      </c>
      <c r="L482" s="2">
        <f>IFERROR(HLOOKUP(F482,Fee_Tiers!$B$4:$E$5,2,FALSE),0)</f>
        <v/>
      </c>
      <c r="M482" s="2">
        <f>IF(AND(E482&gt;500,K482&lt;&gt;"East"),"High-Value Merchant Day",IF(AND(E482&gt;500,K482="East"),"High-Value East (Excluded)",IF(E482&lt;=500,"Standard","Unknown")))</f>
        <v/>
      </c>
    </row>
    <row r="483">
      <c r="A483" s="2" t="inlineStr">
        <is>
          <t>TXN100481</t>
        </is>
      </c>
      <c r="B483" s="2" t="n">
        <v>178</v>
      </c>
      <c r="C483" s="2" t="n">
        <v>4</v>
      </c>
      <c r="D483" s="2" t="inlineStr">
        <is>
          <t>2026-01-24 02:32:00</t>
        </is>
      </c>
      <c r="E483" s="2" t="n">
        <v>1499</v>
      </c>
      <c r="F483" s="2" t="inlineStr">
        <is>
          <t>UPI</t>
        </is>
      </c>
      <c r="G483" s="2" t="inlineStr">
        <is>
          <t>captured</t>
        </is>
      </c>
      <c r="H483" s="2" t="n">
        <v>12</v>
      </c>
      <c r="I483" s="2">
        <f>IFERROR(VLOOKUP(C483,Merchants!$A$2:$D$41,2,FALSE),"Merchant not found")</f>
        <v/>
      </c>
      <c r="J483" s="2">
        <f>IFERROR(VLOOKUP(C483,Merchants!$A$2:$D$41,3,FALSE),"Merchant not found")</f>
        <v/>
      </c>
      <c r="K483" s="2">
        <f>IFERROR(VLOOKUP(C483,Merchants!$A$2:$D$41,4,FALSE),"Merchant not found")</f>
        <v/>
      </c>
      <c r="L483" s="2">
        <f>IFERROR(HLOOKUP(F483,Fee_Tiers!$B$4:$E$5,2,FALSE),0)</f>
        <v/>
      </c>
      <c r="M483" s="2">
        <f>IF(AND(E483&gt;500,K483&lt;&gt;"East"),"High-Value Merchant Day",IF(AND(E483&gt;500,K483="East"),"High-Value East (Excluded)",IF(E483&lt;=500,"Standard","Unknown")))</f>
        <v/>
      </c>
    </row>
    <row r="484">
      <c r="A484" s="2" t="inlineStr">
        <is>
          <t>TXN100482</t>
        </is>
      </c>
      <c r="B484" s="2" t="n">
        <v>39</v>
      </c>
      <c r="C484" s="2" t="n">
        <v>22</v>
      </c>
      <c r="D484" s="2" t="inlineStr">
        <is>
          <t>2026-01-14 07:53:00</t>
        </is>
      </c>
      <c r="E484" s="2" t="n">
        <v>799</v>
      </c>
      <c r="F484" s="2" t="inlineStr">
        <is>
          <t>Netbanking</t>
        </is>
      </c>
      <c r="G484" s="2" t="inlineStr">
        <is>
          <t>captured</t>
        </is>
      </c>
      <c r="H484" s="2" t="n">
        <v>77</v>
      </c>
      <c r="I484" s="2">
        <f>IFERROR(VLOOKUP(C484,Merchants!$A$2:$D$41,2,FALSE),"Merchant not found")</f>
        <v/>
      </c>
      <c r="J484" s="2">
        <f>IFERROR(VLOOKUP(C484,Merchants!$A$2:$D$41,3,FALSE),"Merchant not found")</f>
        <v/>
      </c>
      <c r="K484" s="2">
        <f>IFERROR(VLOOKUP(C484,Merchants!$A$2:$D$41,4,FALSE),"Merchant not found")</f>
        <v/>
      </c>
      <c r="L484" s="2">
        <f>IFERROR(HLOOKUP(F484,Fee_Tiers!$B$4:$E$5,2,FALSE),0)</f>
        <v/>
      </c>
      <c r="M484" s="2">
        <f>IF(AND(E484&gt;500,K484&lt;&gt;"East"),"High-Value Merchant Day",IF(AND(E484&gt;500,K484="East"),"High-Value East (Excluded)",IF(E484&lt;=500,"Standard","Unknown")))</f>
        <v/>
      </c>
    </row>
    <row r="485">
      <c r="A485" s="2" t="inlineStr">
        <is>
          <t>TXN100483</t>
        </is>
      </c>
      <c r="B485" s="2" t="n">
        <v>204</v>
      </c>
      <c r="C485" s="2" t="n">
        <v>21</v>
      </c>
      <c r="D485" s="2" t="inlineStr">
        <is>
          <t>2026-01-25 19:38:00</t>
        </is>
      </c>
      <c r="E485" s="2" t="n">
        <v>299</v>
      </c>
      <c r="F485" s="2" t="inlineStr">
        <is>
          <t>Wallet</t>
        </is>
      </c>
      <c r="G485" s="2" t="inlineStr">
        <is>
          <t>captured</t>
        </is>
      </c>
      <c r="H485" s="2" t="n">
        <v>3</v>
      </c>
      <c r="I485" s="2">
        <f>IFERROR(VLOOKUP(C485,Merchants!$A$2:$D$41,2,FALSE),"Merchant not found")</f>
        <v/>
      </c>
      <c r="J485" s="2">
        <f>IFERROR(VLOOKUP(C485,Merchants!$A$2:$D$41,3,FALSE),"Merchant not found")</f>
        <v/>
      </c>
      <c r="K485" s="2">
        <f>IFERROR(VLOOKUP(C485,Merchants!$A$2:$D$41,4,FALSE),"Merchant not found")</f>
        <v/>
      </c>
      <c r="L485" s="2">
        <f>IFERROR(HLOOKUP(F485,Fee_Tiers!$B$4:$E$5,2,FALSE),0)</f>
        <v/>
      </c>
      <c r="M485" s="2">
        <f>IF(AND(E485&gt;500,K485&lt;&gt;"East"),"High-Value Merchant Day",IF(AND(E485&gt;500,K485="East"),"High-Value East (Excluded)",IF(E485&lt;=500,"Standard","Unknown")))</f>
        <v/>
      </c>
    </row>
    <row r="486">
      <c r="A486" s="2" t="inlineStr">
        <is>
          <t>TXN100484</t>
        </is>
      </c>
      <c r="B486" s="2" t="n">
        <v>231</v>
      </c>
      <c r="C486" s="2" t="n">
        <v>32</v>
      </c>
      <c r="D486" s="2" t="inlineStr">
        <is>
          <t>2026-01-21 08:50:00</t>
        </is>
      </c>
      <c r="E486" s="2" t="n">
        <v>299</v>
      </c>
      <c r="F486" s="2" t="inlineStr">
        <is>
          <t>UPI</t>
        </is>
      </c>
      <c r="G486" s="2" t="inlineStr">
        <is>
          <t>captured</t>
        </is>
      </c>
      <c r="H486" s="2" t="n">
        <v>29</v>
      </c>
      <c r="I486" s="2">
        <f>IFERROR(VLOOKUP(C486,Merchants!$A$2:$D$41,2,FALSE),"Merchant not found")</f>
        <v/>
      </c>
      <c r="J486" s="2">
        <f>IFERROR(VLOOKUP(C486,Merchants!$A$2:$D$41,3,FALSE),"Merchant not found")</f>
        <v/>
      </c>
      <c r="K486" s="2">
        <f>IFERROR(VLOOKUP(C486,Merchants!$A$2:$D$41,4,FALSE),"Merchant not found")</f>
        <v/>
      </c>
      <c r="L486" s="2">
        <f>IFERROR(HLOOKUP(F486,Fee_Tiers!$B$4:$E$5,2,FALSE),0)</f>
        <v/>
      </c>
      <c r="M486" s="2">
        <f>IF(AND(E486&gt;500,K486&lt;&gt;"East"),"High-Value Merchant Day",IF(AND(E486&gt;500,K486="East"),"High-Value East (Excluded)",IF(E486&lt;=500,"Standard","Unknown")))</f>
        <v/>
      </c>
    </row>
    <row r="487">
      <c r="A487" s="2" t="inlineStr">
        <is>
          <t>TXN100485</t>
        </is>
      </c>
      <c r="B487" s="2" t="n">
        <v>222</v>
      </c>
      <c r="C487" s="2" t="n">
        <v>12</v>
      </c>
      <c r="D487" s="2" t="inlineStr">
        <is>
          <t>2026-01-12 17:24:00</t>
        </is>
      </c>
      <c r="E487" s="2" t="n">
        <v>499</v>
      </c>
      <c r="F487" s="2" t="inlineStr">
        <is>
          <t>Wallet</t>
        </is>
      </c>
      <c r="G487" s="2" t="inlineStr">
        <is>
          <t>failed</t>
        </is>
      </c>
      <c r="H487" s="2" t="n">
        <v>87</v>
      </c>
      <c r="I487" s="2">
        <f>IFERROR(VLOOKUP(C487,Merchants!$A$2:$D$41,2,FALSE),"Merchant not found")</f>
        <v/>
      </c>
      <c r="J487" s="2">
        <f>IFERROR(VLOOKUP(C487,Merchants!$A$2:$D$41,3,FALSE),"Merchant not found")</f>
        <v/>
      </c>
      <c r="K487" s="2">
        <f>IFERROR(VLOOKUP(C487,Merchants!$A$2:$D$41,4,FALSE),"Merchant not found")</f>
        <v/>
      </c>
      <c r="L487" s="2">
        <f>IFERROR(HLOOKUP(F487,Fee_Tiers!$B$4:$E$5,2,FALSE),0)</f>
        <v/>
      </c>
      <c r="M487" s="2">
        <f>IF(AND(E487&gt;500,K487&lt;&gt;"East"),"High-Value Merchant Day",IF(AND(E487&gt;500,K487="East"),"High-Value East (Excluded)",IF(E487&lt;=500,"Standard","Unknown")))</f>
        <v/>
      </c>
    </row>
    <row r="488">
      <c r="A488" s="2" t="inlineStr">
        <is>
          <t>TXN100486</t>
        </is>
      </c>
      <c r="B488" s="2" t="n">
        <v>44</v>
      </c>
      <c r="C488" s="2" t="n">
        <v>40</v>
      </c>
      <c r="D488" s="2" t="inlineStr">
        <is>
          <t>2026-01-19 21:24:00</t>
        </is>
      </c>
      <c r="E488" s="2" t="n">
        <v>499</v>
      </c>
      <c r="F488" s="2" t="inlineStr">
        <is>
          <t>UPI</t>
        </is>
      </c>
      <c r="G488" s="2" t="inlineStr">
        <is>
          <t>captured</t>
        </is>
      </c>
      <c r="H488" s="2" t="n">
        <v>37</v>
      </c>
      <c r="I488" s="2">
        <f>IFERROR(VLOOKUP(C488,Merchants!$A$2:$D$41,2,FALSE),"Merchant not found")</f>
        <v/>
      </c>
      <c r="J488" s="2">
        <f>IFERROR(VLOOKUP(C488,Merchants!$A$2:$D$41,3,FALSE),"Merchant not found")</f>
        <v/>
      </c>
      <c r="K488" s="2">
        <f>IFERROR(VLOOKUP(C488,Merchants!$A$2:$D$41,4,FALSE),"Merchant not found")</f>
        <v/>
      </c>
      <c r="L488" s="2">
        <f>IFERROR(HLOOKUP(F488,Fee_Tiers!$B$4:$E$5,2,FALSE),0)</f>
        <v/>
      </c>
      <c r="M488" s="2">
        <f>IF(AND(E488&gt;500,K488&lt;&gt;"East"),"High-Value Merchant Day",IF(AND(E488&gt;500,K488="East"),"High-Value East (Excluded)",IF(E488&lt;=500,"Standard","Unknown")))</f>
        <v/>
      </c>
    </row>
    <row r="489">
      <c r="A489" s="2" t="inlineStr">
        <is>
          <t>TXN100487</t>
        </is>
      </c>
      <c r="B489" s="2" t="n">
        <v>38</v>
      </c>
      <c r="C489" s="2" t="n">
        <v>6</v>
      </c>
      <c r="D489" s="2" t="inlineStr">
        <is>
          <t>2026-01-26 07:45:00</t>
        </is>
      </c>
      <c r="E489" s="2" t="n">
        <v>49</v>
      </c>
      <c r="F489" s="2" t="inlineStr">
        <is>
          <t>Wallet</t>
        </is>
      </c>
      <c r="G489" s="2" t="inlineStr">
        <is>
          <t>captured</t>
        </is>
      </c>
      <c r="H489" s="2" t="n">
        <v>34</v>
      </c>
      <c r="I489" s="2">
        <f>IFERROR(VLOOKUP(C489,Merchants!$A$2:$D$41,2,FALSE),"Merchant not found")</f>
        <v/>
      </c>
      <c r="J489" s="2">
        <f>IFERROR(VLOOKUP(C489,Merchants!$A$2:$D$41,3,FALSE),"Merchant not found")</f>
        <v/>
      </c>
      <c r="K489" s="2">
        <f>IFERROR(VLOOKUP(C489,Merchants!$A$2:$D$41,4,FALSE),"Merchant not found")</f>
        <v/>
      </c>
      <c r="L489" s="2">
        <f>IFERROR(HLOOKUP(F489,Fee_Tiers!$B$4:$E$5,2,FALSE),0)</f>
        <v/>
      </c>
      <c r="M489" s="2">
        <f>IF(AND(E489&gt;500,K489&lt;&gt;"East"),"High-Value Merchant Day",IF(AND(E489&gt;500,K489="East"),"High-Value East (Excluded)",IF(E489&lt;=500,"Standard","Unknown")))</f>
        <v/>
      </c>
    </row>
    <row r="490">
      <c r="A490" s="2" t="inlineStr">
        <is>
          <t>TXN100488</t>
        </is>
      </c>
      <c r="B490" s="2" t="n">
        <v>325</v>
      </c>
      <c r="C490" s="2" t="n">
        <v>10</v>
      </c>
      <c r="D490" s="2" t="inlineStr">
        <is>
          <t>2026-01-05 12:45:00</t>
        </is>
      </c>
      <c r="E490" s="2" t="n">
        <v>49</v>
      </c>
      <c r="F490" s="2" t="inlineStr">
        <is>
          <t>Netbanking</t>
        </is>
      </c>
      <c r="G490" s="2" t="inlineStr">
        <is>
          <t>chargeback</t>
        </is>
      </c>
      <c r="H490" s="2" t="n">
        <v>94</v>
      </c>
      <c r="I490" s="2">
        <f>IFERROR(VLOOKUP(C490,Merchants!$A$2:$D$41,2,FALSE),"Merchant not found")</f>
        <v/>
      </c>
      <c r="J490" s="2">
        <f>IFERROR(VLOOKUP(C490,Merchants!$A$2:$D$41,3,FALSE),"Merchant not found")</f>
        <v/>
      </c>
      <c r="K490" s="2">
        <f>IFERROR(VLOOKUP(C490,Merchants!$A$2:$D$41,4,FALSE),"Merchant not found")</f>
        <v/>
      </c>
      <c r="L490" s="2">
        <f>IFERROR(HLOOKUP(F490,Fee_Tiers!$B$4:$E$5,2,FALSE),0)</f>
        <v/>
      </c>
      <c r="M490" s="2">
        <f>IF(AND(E490&gt;500,K490&lt;&gt;"East"),"High-Value Merchant Day",IF(AND(E490&gt;500,K490="East"),"High-Value East (Excluded)",IF(E490&lt;=500,"Standard","Unknown")))</f>
        <v/>
      </c>
    </row>
    <row r="491">
      <c r="A491" s="2" t="inlineStr">
        <is>
          <t>TXN100489</t>
        </is>
      </c>
      <c r="B491" s="2" t="n">
        <v>55</v>
      </c>
      <c r="C491" s="2" t="n">
        <v>6</v>
      </c>
      <c r="D491" s="2" t="inlineStr">
        <is>
          <t>2026-01-13 10:23:00</t>
        </is>
      </c>
      <c r="E491" s="2" t="n">
        <v>1499</v>
      </c>
      <c r="F491" s="2" t="inlineStr">
        <is>
          <t>Card</t>
        </is>
      </c>
      <c r="G491" s="2" t="inlineStr">
        <is>
          <t>captured</t>
        </is>
      </c>
      <c r="H491" s="2" t="n">
        <v>0</v>
      </c>
      <c r="I491" s="2">
        <f>IFERROR(VLOOKUP(C491,Merchants!$A$2:$D$41,2,FALSE),"Merchant not found")</f>
        <v/>
      </c>
      <c r="J491" s="2">
        <f>IFERROR(VLOOKUP(C491,Merchants!$A$2:$D$41,3,FALSE),"Merchant not found")</f>
        <v/>
      </c>
      <c r="K491" s="2">
        <f>IFERROR(VLOOKUP(C491,Merchants!$A$2:$D$41,4,FALSE),"Merchant not found")</f>
        <v/>
      </c>
      <c r="L491" s="2">
        <f>IFERROR(HLOOKUP(F491,Fee_Tiers!$B$4:$E$5,2,FALSE),0)</f>
        <v/>
      </c>
      <c r="M491" s="2">
        <f>IF(AND(E491&gt;500,K491&lt;&gt;"East"),"High-Value Merchant Day",IF(AND(E491&gt;500,K491="East"),"High-Value East (Excluded)",IF(E491&lt;=500,"Standard","Unknown")))</f>
        <v/>
      </c>
    </row>
    <row r="492">
      <c r="A492" s="2" t="inlineStr">
        <is>
          <t>TXN100490</t>
        </is>
      </c>
      <c r="B492" s="2" t="n">
        <v>139</v>
      </c>
      <c r="C492" s="2" t="n">
        <v>7</v>
      </c>
      <c r="D492" s="2" t="inlineStr">
        <is>
          <t>2026-01-10 14:23:00</t>
        </is>
      </c>
      <c r="E492" s="2" t="n">
        <v>499</v>
      </c>
      <c r="F492" s="2" t="inlineStr">
        <is>
          <t>Card</t>
        </is>
      </c>
      <c r="G492" s="2" t="inlineStr">
        <is>
          <t>captured</t>
        </is>
      </c>
      <c r="H492" s="2" t="n">
        <v>16</v>
      </c>
      <c r="I492" s="2">
        <f>IFERROR(VLOOKUP(C492,Merchants!$A$2:$D$41,2,FALSE),"Merchant not found")</f>
        <v/>
      </c>
      <c r="J492" s="2">
        <f>IFERROR(VLOOKUP(C492,Merchants!$A$2:$D$41,3,FALSE),"Merchant not found")</f>
        <v/>
      </c>
      <c r="K492" s="2">
        <f>IFERROR(VLOOKUP(C492,Merchants!$A$2:$D$41,4,FALSE),"Merchant not found")</f>
        <v/>
      </c>
      <c r="L492" s="2">
        <f>IFERROR(HLOOKUP(F492,Fee_Tiers!$B$4:$E$5,2,FALSE),0)</f>
        <v/>
      </c>
      <c r="M492" s="2">
        <f>IF(AND(E492&gt;500,K492&lt;&gt;"East"),"High-Value Merchant Day",IF(AND(E492&gt;500,K492="East"),"High-Value East (Excluded)",IF(E492&lt;=500,"Standard","Unknown")))</f>
        <v/>
      </c>
    </row>
    <row r="493">
      <c r="A493" s="2" t="inlineStr">
        <is>
          <t>TXN100491</t>
        </is>
      </c>
      <c r="B493" s="2" t="n">
        <v>230</v>
      </c>
      <c r="C493" s="2" t="n">
        <v>36</v>
      </c>
      <c r="D493" s="2" t="inlineStr">
        <is>
          <t>2026-01-03 05:27:00</t>
        </is>
      </c>
      <c r="E493" s="2" t="n">
        <v>99</v>
      </c>
      <c r="F493" s="2" t="inlineStr">
        <is>
          <t>Wallet</t>
        </is>
      </c>
      <c r="G493" s="2" t="inlineStr">
        <is>
          <t>captured</t>
        </is>
      </c>
      <c r="H493" s="2" t="n">
        <v>71</v>
      </c>
      <c r="I493" s="2">
        <f>IFERROR(VLOOKUP(C493,Merchants!$A$2:$D$41,2,FALSE),"Merchant not found")</f>
        <v/>
      </c>
      <c r="J493" s="2">
        <f>IFERROR(VLOOKUP(C493,Merchants!$A$2:$D$41,3,FALSE),"Merchant not found")</f>
        <v/>
      </c>
      <c r="K493" s="2">
        <f>IFERROR(VLOOKUP(C493,Merchants!$A$2:$D$41,4,FALSE),"Merchant not found")</f>
        <v/>
      </c>
      <c r="L493" s="2">
        <f>IFERROR(HLOOKUP(F493,Fee_Tiers!$B$4:$E$5,2,FALSE),0)</f>
        <v/>
      </c>
      <c r="M493" s="2">
        <f>IF(AND(E493&gt;500,K493&lt;&gt;"East"),"High-Value Merchant Day",IF(AND(E493&gt;500,K493="East"),"High-Value East (Excluded)",IF(E493&lt;=500,"Standard","Unknown")))</f>
        <v/>
      </c>
    </row>
    <row r="494">
      <c r="A494" s="2" t="inlineStr">
        <is>
          <t>TXN100492</t>
        </is>
      </c>
      <c r="B494" s="2" t="n">
        <v>14</v>
      </c>
      <c r="C494" s="2" t="n">
        <v>6</v>
      </c>
      <c r="D494" s="2" t="inlineStr">
        <is>
          <t>2026-01-17 13:06:00</t>
        </is>
      </c>
      <c r="E494" s="2" t="n">
        <v>799</v>
      </c>
      <c r="F494" s="2" t="inlineStr">
        <is>
          <t>Card</t>
        </is>
      </c>
      <c r="G494" s="2" t="inlineStr">
        <is>
          <t>captured</t>
        </is>
      </c>
      <c r="H494" s="2" t="n">
        <v>45</v>
      </c>
      <c r="I494" s="2">
        <f>IFERROR(VLOOKUP(C494,Merchants!$A$2:$D$41,2,FALSE),"Merchant not found")</f>
        <v/>
      </c>
      <c r="J494" s="2">
        <f>IFERROR(VLOOKUP(C494,Merchants!$A$2:$D$41,3,FALSE),"Merchant not found")</f>
        <v/>
      </c>
      <c r="K494" s="2">
        <f>IFERROR(VLOOKUP(C494,Merchants!$A$2:$D$41,4,FALSE),"Merchant not found")</f>
        <v/>
      </c>
      <c r="L494" s="2">
        <f>IFERROR(HLOOKUP(F494,Fee_Tiers!$B$4:$E$5,2,FALSE),0)</f>
        <v/>
      </c>
      <c r="M494" s="2">
        <f>IF(AND(E494&gt;500,K494&lt;&gt;"East"),"High-Value Merchant Day",IF(AND(E494&gt;500,K494="East"),"High-Value East (Excluded)",IF(E494&lt;=500,"Standard","Unknown")))</f>
        <v/>
      </c>
    </row>
    <row r="495">
      <c r="A495" s="2" t="inlineStr">
        <is>
          <t>TXN100493</t>
        </is>
      </c>
      <c r="B495" s="2" t="n">
        <v>307</v>
      </c>
      <c r="C495" s="2" t="n">
        <v>21</v>
      </c>
      <c r="D495" s="2" t="inlineStr">
        <is>
          <t>2026-01-18 02:38:00</t>
        </is>
      </c>
      <c r="E495" s="2" t="n">
        <v>799</v>
      </c>
      <c r="F495" s="2" t="inlineStr">
        <is>
          <t>UPI</t>
        </is>
      </c>
      <c r="G495" s="2" t="inlineStr">
        <is>
          <t>captured</t>
        </is>
      </c>
      <c r="H495" s="2" t="n">
        <v>49</v>
      </c>
      <c r="I495" s="2">
        <f>IFERROR(VLOOKUP(C495,Merchants!$A$2:$D$41,2,FALSE),"Merchant not found")</f>
        <v/>
      </c>
      <c r="J495" s="2">
        <f>IFERROR(VLOOKUP(C495,Merchants!$A$2:$D$41,3,FALSE),"Merchant not found")</f>
        <v/>
      </c>
      <c r="K495" s="2">
        <f>IFERROR(VLOOKUP(C495,Merchants!$A$2:$D$41,4,FALSE),"Merchant not found")</f>
        <v/>
      </c>
      <c r="L495" s="2">
        <f>IFERROR(HLOOKUP(F495,Fee_Tiers!$B$4:$E$5,2,FALSE),0)</f>
        <v/>
      </c>
      <c r="M495" s="2">
        <f>IF(AND(E495&gt;500,K495&lt;&gt;"East"),"High-Value Merchant Day",IF(AND(E495&gt;500,K495="East"),"High-Value East (Excluded)",IF(E495&lt;=500,"Standard","Unknown")))</f>
        <v/>
      </c>
    </row>
    <row r="496">
      <c r="A496" s="2" t="inlineStr">
        <is>
          <t>TXN100494</t>
        </is>
      </c>
      <c r="B496" s="2" t="n">
        <v>199</v>
      </c>
      <c r="C496" s="2" t="n">
        <v>6</v>
      </c>
      <c r="D496" s="2" t="inlineStr">
        <is>
          <t>2026-01-01 09:26:00</t>
        </is>
      </c>
      <c r="E496" s="2" t="n">
        <v>49</v>
      </c>
      <c r="F496" s="2" t="inlineStr">
        <is>
          <t>UPI</t>
        </is>
      </c>
      <c r="G496" s="2" t="inlineStr">
        <is>
          <t>captured</t>
        </is>
      </c>
      <c r="H496" s="2" t="n">
        <v>92</v>
      </c>
      <c r="I496" s="2">
        <f>IFERROR(VLOOKUP(C496,Merchants!$A$2:$D$41,2,FALSE),"Merchant not found")</f>
        <v/>
      </c>
      <c r="J496" s="2">
        <f>IFERROR(VLOOKUP(C496,Merchants!$A$2:$D$41,3,FALSE),"Merchant not found")</f>
        <v/>
      </c>
      <c r="K496" s="2">
        <f>IFERROR(VLOOKUP(C496,Merchants!$A$2:$D$41,4,FALSE),"Merchant not found")</f>
        <v/>
      </c>
      <c r="L496" s="2">
        <f>IFERROR(HLOOKUP(F496,Fee_Tiers!$B$4:$E$5,2,FALSE),0)</f>
        <v/>
      </c>
      <c r="M496" s="2">
        <f>IF(AND(E496&gt;500,K496&lt;&gt;"East"),"High-Value Merchant Day",IF(AND(E496&gt;500,K496="East"),"High-Value East (Excluded)",IF(E496&lt;=500,"Standard","Unknown")))</f>
        <v/>
      </c>
    </row>
    <row r="497">
      <c r="A497" s="2" t="inlineStr">
        <is>
          <t>TXN100495</t>
        </is>
      </c>
      <c r="B497" s="2" t="n">
        <v>125</v>
      </c>
      <c r="C497" s="2" t="n">
        <v>37</v>
      </c>
      <c r="D497" s="2" t="inlineStr">
        <is>
          <t>2026-01-29 17:57:00</t>
        </is>
      </c>
      <c r="E497" s="2" t="n">
        <v>149</v>
      </c>
      <c r="F497" s="2" t="inlineStr">
        <is>
          <t>Wallet</t>
        </is>
      </c>
      <c r="G497" s="2" t="inlineStr">
        <is>
          <t>captured</t>
        </is>
      </c>
      <c r="H497" s="2" t="n">
        <v>66</v>
      </c>
      <c r="I497" s="2">
        <f>IFERROR(VLOOKUP(C497,Merchants!$A$2:$D$41,2,FALSE),"Merchant not found")</f>
        <v/>
      </c>
      <c r="J497" s="2">
        <f>IFERROR(VLOOKUP(C497,Merchants!$A$2:$D$41,3,FALSE),"Merchant not found")</f>
        <v/>
      </c>
      <c r="K497" s="2">
        <f>IFERROR(VLOOKUP(C497,Merchants!$A$2:$D$41,4,FALSE),"Merchant not found")</f>
        <v/>
      </c>
      <c r="L497" s="2">
        <f>IFERROR(HLOOKUP(F497,Fee_Tiers!$B$4:$E$5,2,FALSE),0)</f>
        <v/>
      </c>
      <c r="M497" s="2">
        <f>IF(AND(E497&gt;500,K497&lt;&gt;"East"),"High-Value Merchant Day",IF(AND(E497&gt;500,K497="East"),"High-Value East (Excluded)",IF(E497&lt;=500,"Standard","Unknown")))</f>
        <v/>
      </c>
    </row>
    <row r="498">
      <c r="A498" s="2" t="inlineStr">
        <is>
          <t>TXN100496</t>
        </is>
      </c>
      <c r="B498" s="2" t="n">
        <v>87</v>
      </c>
      <c r="C498" s="2" t="n">
        <v>9</v>
      </c>
      <c r="D498" s="2" t="inlineStr">
        <is>
          <t>2026-01-06 21:24:00</t>
        </is>
      </c>
      <c r="E498" s="2" t="n">
        <v>149</v>
      </c>
      <c r="F498" s="2" t="inlineStr">
        <is>
          <t>UPI</t>
        </is>
      </c>
      <c r="G498" s="2" t="inlineStr">
        <is>
          <t>captured</t>
        </is>
      </c>
      <c r="H498" s="2" t="n">
        <v>34</v>
      </c>
      <c r="I498" s="2">
        <f>IFERROR(VLOOKUP(C498,Merchants!$A$2:$D$41,2,FALSE),"Merchant not found")</f>
        <v/>
      </c>
      <c r="J498" s="2">
        <f>IFERROR(VLOOKUP(C498,Merchants!$A$2:$D$41,3,FALSE),"Merchant not found")</f>
        <v/>
      </c>
      <c r="K498" s="2">
        <f>IFERROR(VLOOKUP(C498,Merchants!$A$2:$D$41,4,FALSE),"Merchant not found")</f>
        <v/>
      </c>
      <c r="L498" s="2">
        <f>IFERROR(HLOOKUP(F498,Fee_Tiers!$B$4:$E$5,2,FALSE),0)</f>
        <v/>
      </c>
      <c r="M498" s="2">
        <f>IF(AND(E498&gt;500,K498&lt;&gt;"East"),"High-Value Merchant Day",IF(AND(E498&gt;500,K498="East"),"High-Value East (Excluded)",IF(E498&lt;=500,"Standard","Unknown")))</f>
        <v/>
      </c>
    </row>
    <row r="499">
      <c r="A499" s="2" t="inlineStr">
        <is>
          <t>TXN100497</t>
        </is>
      </c>
      <c r="B499" s="2" t="n">
        <v>75</v>
      </c>
      <c r="C499" s="2" t="n">
        <v>5</v>
      </c>
      <c r="D499" s="2" t="inlineStr">
        <is>
          <t>2026-01-10 08:31:00</t>
        </is>
      </c>
      <c r="E499" s="2" t="n">
        <v>99</v>
      </c>
      <c r="F499" s="2" t="inlineStr">
        <is>
          <t>UPI</t>
        </is>
      </c>
      <c r="G499" s="2" t="inlineStr">
        <is>
          <t>captured</t>
        </is>
      </c>
      <c r="H499" s="2" t="n">
        <v>21</v>
      </c>
      <c r="I499" s="2">
        <f>IFERROR(VLOOKUP(C499,Merchants!$A$2:$D$41,2,FALSE),"Merchant not found")</f>
        <v/>
      </c>
      <c r="J499" s="2">
        <f>IFERROR(VLOOKUP(C499,Merchants!$A$2:$D$41,3,FALSE),"Merchant not found")</f>
        <v/>
      </c>
      <c r="K499" s="2">
        <f>IFERROR(VLOOKUP(C499,Merchants!$A$2:$D$41,4,FALSE),"Merchant not found")</f>
        <v/>
      </c>
      <c r="L499" s="2">
        <f>IFERROR(HLOOKUP(F499,Fee_Tiers!$B$4:$E$5,2,FALSE),0)</f>
        <v/>
      </c>
      <c r="M499" s="2">
        <f>IF(AND(E499&gt;500,K499&lt;&gt;"East"),"High-Value Merchant Day",IF(AND(E499&gt;500,K499="East"),"High-Value East (Excluded)",IF(E499&lt;=500,"Standard","Unknown")))</f>
        <v/>
      </c>
    </row>
    <row r="500">
      <c r="A500" s="2" t="inlineStr">
        <is>
          <t>TXN100498</t>
        </is>
      </c>
      <c r="B500" s="2" t="n">
        <v>154</v>
      </c>
      <c r="C500" s="2" t="n">
        <v>31</v>
      </c>
      <c r="D500" s="2" t="inlineStr">
        <is>
          <t>2026-01-14 08:26:00</t>
        </is>
      </c>
      <c r="E500" s="2" t="n">
        <v>499</v>
      </c>
      <c r="F500" s="2" t="inlineStr">
        <is>
          <t>Wallet</t>
        </is>
      </c>
      <c r="G500" s="2" t="inlineStr">
        <is>
          <t>captured</t>
        </is>
      </c>
      <c r="H500" s="2" t="n">
        <v>100</v>
      </c>
      <c r="I500" s="2">
        <f>IFERROR(VLOOKUP(C500,Merchants!$A$2:$D$41,2,FALSE),"Merchant not found")</f>
        <v/>
      </c>
      <c r="J500" s="2">
        <f>IFERROR(VLOOKUP(C500,Merchants!$A$2:$D$41,3,FALSE),"Merchant not found")</f>
        <v/>
      </c>
      <c r="K500" s="2">
        <f>IFERROR(VLOOKUP(C500,Merchants!$A$2:$D$41,4,FALSE),"Merchant not found")</f>
        <v/>
      </c>
      <c r="L500" s="2">
        <f>IFERROR(HLOOKUP(F500,Fee_Tiers!$B$4:$E$5,2,FALSE),0)</f>
        <v/>
      </c>
      <c r="M500" s="2">
        <f>IF(AND(E500&gt;500,K500&lt;&gt;"East"),"High-Value Merchant Day",IF(AND(E500&gt;500,K500="East"),"High-Value East (Excluded)",IF(E500&lt;=500,"Standard","Unknown")))</f>
        <v/>
      </c>
    </row>
    <row r="501">
      <c r="A501" s="2" t="inlineStr">
        <is>
          <t>TXN100499</t>
        </is>
      </c>
      <c r="B501" s="2" t="n">
        <v>127</v>
      </c>
      <c r="C501" s="2" t="n">
        <v>32</v>
      </c>
      <c r="D501" s="2" t="inlineStr">
        <is>
          <t>2026-01-03 11:16:00</t>
        </is>
      </c>
      <c r="E501" s="2" t="n">
        <v>149</v>
      </c>
      <c r="F501" s="2" t="inlineStr">
        <is>
          <t>Card</t>
        </is>
      </c>
      <c r="G501" s="2" t="inlineStr">
        <is>
          <t>captured</t>
        </is>
      </c>
      <c r="H501" s="2" t="n">
        <v>76</v>
      </c>
      <c r="I501" s="2">
        <f>IFERROR(VLOOKUP(C501,Merchants!$A$2:$D$41,2,FALSE),"Merchant not found")</f>
        <v/>
      </c>
      <c r="J501" s="2">
        <f>IFERROR(VLOOKUP(C501,Merchants!$A$2:$D$41,3,FALSE),"Merchant not found")</f>
        <v/>
      </c>
      <c r="K501" s="2">
        <f>IFERROR(VLOOKUP(C501,Merchants!$A$2:$D$41,4,FALSE),"Merchant not found")</f>
        <v/>
      </c>
      <c r="L501" s="2">
        <f>IFERROR(HLOOKUP(F501,Fee_Tiers!$B$4:$E$5,2,FALSE),0)</f>
        <v/>
      </c>
      <c r="M501" s="2">
        <f>IF(AND(E501&gt;500,K501&lt;&gt;"East"),"High-Value Merchant Day",IF(AND(E501&gt;500,K501="East"),"High-Value East (Excluded)",IF(E501&lt;=500,"Standard","Unknown")))</f>
        <v/>
      </c>
    </row>
    <row r="502">
      <c r="A502" s="2" t="inlineStr">
        <is>
          <t>TXN200000</t>
        </is>
      </c>
      <c r="B502" s="2" t="n">
        <v>351</v>
      </c>
      <c r="C502" s="2" t="n">
        <v>7</v>
      </c>
      <c r="D502" s="2" t="inlineStr">
        <is>
          <t>2026-01-30 06:00:00</t>
        </is>
      </c>
      <c r="E502" s="2" t="n">
        <v>1999</v>
      </c>
      <c r="F502" s="2" t="inlineStr">
        <is>
          <t>Card</t>
        </is>
      </c>
      <c r="G502" s="2" t="inlineStr">
        <is>
          <t>chargeback</t>
        </is>
      </c>
      <c r="H502" s="2" t="n">
        <v>79</v>
      </c>
      <c r="I502" s="2">
        <f>IFERROR(VLOOKUP(C502,Merchants!$A$2:$D$41,2,FALSE),"Merchant not found")</f>
        <v/>
      </c>
      <c r="J502" s="2">
        <f>IFERROR(VLOOKUP(C502,Merchants!$A$2:$D$41,3,FALSE),"Merchant not found")</f>
        <v/>
      </c>
      <c r="K502" s="2">
        <f>IFERROR(VLOOKUP(C502,Merchants!$A$2:$D$41,4,FALSE),"Merchant not found")</f>
        <v/>
      </c>
      <c r="L502" s="2">
        <f>IFERROR(HLOOKUP(F502,Fee_Tiers!$B$4:$E$5,2,FALSE),0)</f>
        <v/>
      </c>
      <c r="M502" s="2">
        <f>IF(AND(E502&gt;500,K502&lt;&gt;"East"),"High-Value Merchant Day",IF(AND(E502&gt;500,K502="East"),"High-Value East (Excluded)",IF(E502&lt;=500,"Standard","Unknown")))</f>
        <v/>
      </c>
    </row>
    <row r="503">
      <c r="A503" s="2" t="inlineStr">
        <is>
          <t>TXN200001</t>
        </is>
      </c>
      <c r="B503" s="2" t="n">
        <v>352</v>
      </c>
      <c r="C503" s="2" t="n">
        <v>40</v>
      </c>
      <c r="D503" s="2" t="inlineStr">
        <is>
          <t>2026-01-11 12:00:00</t>
        </is>
      </c>
      <c r="E503" s="2" t="n">
        <v>4999</v>
      </c>
      <c r="F503" s="2" t="inlineStr">
        <is>
          <t>Card</t>
        </is>
      </c>
      <c r="G503" s="2" t="inlineStr">
        <is>
          <t>chargeback</t>
        </is>
      </c>
      <c r="H503" s="2" t="n">
        <v>95</v>
      </c>
      <c r="I503" s="2">
        <f>IFERROR(VLOOKUP(C503,Merchants!$A$2:$D$41,2,FALSE),"Merchant not found")</f>
        <v/>
      </c>
      <c r="J503" s="2">
        <f>IFERROR(VLOOKUP(C503,Merchants!$A$2:$D$41,3,FALSE),"Merchant not found")</f>
        <v/>
      </c>
      <c r="K503" s="2">
        <f>IFERROR(VLOOKUP(C503,Merchants!$A$2:$D$41,4,FALSE),"Merchant not found")</f>
        <v/>
      </c>
      <c r="L503" s="2">
        <f>IFERROR(HLOOKUP(F503,Fee_Tiers!$B$4:$E$5,2,FALSE),0)</f>
        <v/>
      </c>
      <c r="M503" s="2">
        <f>IF(AND(E503&gt;500,K503&lt;&gt;"East"),"High-Value Merchant Day",IF(AND(E503&gt;500,K503="East"),"High-Value East (Excluded)",IF(E503&lt;=500,"Standard","Unknown")))</f>
        <v/>
      </c>
    </row>
    <row r="504">
      <c r="A504" s="2" t="inlineStr">
        <is>
          <t>TXN200002</t>
        </is>
      </c>
      <c r="B504" s="2" t="n">
        <v>353</v>
      </c>
      <c r="C504" s="2" t="n">
        <v>28</v>
      </c>
      <c r="D504" s="2" t="inlineStr">
        <is>
          <t>2026-01-21 14:00:00</t>
        </is>
      </c>
      <c r="E504" s="2" t="n">
        <v>1999</v>
      </c>
      <c r="F504" s="2" t="inlineStr">
        <is>
          <t>Card</t>
        </is>
      </c>
      <c r="G504" s="2" t="inlineStr">
        <is>
          <t>chargeback</t>
        </is>
      </c>
      <c r="H504" s="2" t="n">
        <v>79</v>
      </c>
      <c r="I504" s="2">
        <f>IFERROR(VLOOKUP(C504,Merchants!$A$2:$D$41,2,FALSE),"Merchant not found")</f>
        <v/>
      </c>
      <c r="J504" s="2">
        <f>IFERROR(VLOOKUP(C504,Merchants!$A$2:$D$41,3,FALSE),"Merchant not found")</f>
        <v/>
      </c>
      <c r="K504" s="2">
        <f>IFERROR(VLOOKUP(C504,Merchants!$A$2:$D$41,4,FALSE),"Merchant not found")</f>
        <v/>
      </c>
      <c r="L504" s="2">
        <f>IFERROR(HLOOKUP(F504,Fee_Tiers!$B$4:$E$5,2,FALSE),0)</f>
        <v/>
      </c>
      <c r="M504" s="2">
        <f>IF(AND(E504&gt;500,K504&lt;&gt;"East"),"High-Value Merchant Day",IF(AND(E504&gt;500,K504="East"),"High-Value East (Excluded)",IF(E504&lt;=500,"Standard","Unknown")))</f>
        <v/>
      </c>
    </row>
    <row r="505">
      <c r="A505" s="2" t="inlineStr">
        <is>
          <t>TXN200003</t>
        </is>
      </c>
      <c r="B505" s="2" t="n">
        <v>354</v>
      </c>
      <c r="C505" s="2" t="n">
        <v>13</v>
      </c>
      <c r="D505" s="2" t="inlineStr">
        <is>
          <t>2026-01-21 19:00:00</t>
        </is>
      </c>
      <c r="E505" s="2" t="n">
        <v>4999</v>
      </c>
      <c r="F505" s="2" t="inlineStr">
        <is>
          <t>Card</t>
        </is>
      </c>
      <c r="G505" s="2" t="inlineStr">
        <is>
          <t>chargeback</t>
        </is>
      </c>
      <c r="H505" s="2" t="n">
        <v>80</v>
      </c>
      <c r="I505" s="2">
        <f>IFERROR(VLOOKUP(C505,Merchants!$A$2:$D$41,2,FALSE),"Merchant not found")</f>
        <v/>
      </c>
      <c r="J505" s="2">
        <f>IFERROR(VLOOKUP(C505,Merchants!$A$2:$D$41,3,FALSE),"Merchant not found")</f>
        <v/>
      </c>
      <c r="K505" s="2">
        <f>IFERROR(VLOOKUP(C505,Merchants!$A$2:$D$41,4,FALSE),"Merchant not found")</f>
        <v/>
      </c>
      <c r="L505" s="2">
        <f>IFERROR(HLOOKUP(F505,Fee_Tiers!$B$4:$E$5,2,FALSE),0)</f>
        <v/>
      </c>
      <c r="M505" s="2">
        <f>IF(AND(E505&gt;500,K505&lt;&gt;"East"),"High-Value Merchant Day",IF(AND(E505&gt;500,K505="East"),"High-Value East (Excluded)",IF(E505&lt;=500,"Standard","Unknown")))</f>
        <v/>
      </c>
    </row>
    <row r="506">
      <c r="A506" s="2" t="inlineStr">
        <is>
          <t>TXN200004</t>
        </is>
      </c>
      <c r="B506" s="2" t="n">
        <v>355</v>
      </c>
      <c r="C506" s="2" t="n">
        <v>19</v>
      </c>
      <c r="D506" s="2" t="inlineStr">
        <is>
          <t>2026-01-16 12:00:00</t>
        </is>
      </c>
      <c r="E506" s="2" t="n">
        <v>4999</v>
      </c>
      <c r="F506" s="2" t="inlineStr">
        <is>
          <t>Card</t>
        </is>
      </c>
      <c r="G506" s="2" t="inlineStr">
        <is>
          <t>chargeback</t>
        </is>
      </c>
      <c r="H506" s="2" t="n">
        <v>100</v>
      </c>
      <c r="I506" s="2">
        <f>IFERROR(VLOOKUP(C506,Merchants!$A$2:$D$41,2,FALSE),"Merchant not found")</f>
        <v/>
      </c>
      <c r="J506" s="2">
        <f>IFERROR(VLOOKUP(C506,Merchants!$A$2:$D$41,3,FALSE),"Merchant not found")</f>
        <v/>
      </c>
      <c r="K506" s="2">
        <f>IFERROR(VLOOKUP(C506,Merchants!$A$2:$D$41,4,FALSE),"Merchant not found")</f>
        <v/>
      </c>
      <c r="L506" s="2">
        <f>IFERROR(HLOOKUP(F506,Fee_Tiers!$B$4:$E$5,2,FALSE),0)</f>
        <v/>
      </c>
      <c r="M506" s="2">
        <f>IF(AND(E506&gt;500,K506&lt;&gt;"East"),"High-Value Merchant Day",IF(AND(E506&gt;500,K506="East"),"High-Value East (Excluded)",IF(E506&lt;=500,"Standard","Unknown")))</f>
        <v/>
      </c>
    </row>
    <row r="507">
      <c r="A507" s="2" t="inlineStr">
        <is>
          <t>TXN200005</t>
        </is>
      </c>
      <c r="B507" s="2" t="n">
        <v>356</v>
      </c>
      <c r="C507" s="2" t="n">
        <v>25</v>
      </c>
      <c r="D507" s="2" t="inlineStr">
        <is>
          <t>2026-01-29 07:00:00</t>
        </is>
      </c>
      <c r="E507" s="2" t="n">
        <v>2999</v>
      </c>
      <c r="F507" s="2" t="inlineStr">
        <is>
          <t>Card</t>
        </is>
      </c>
      <c r="G507" s="2" t="inlineStr">
        <is>
          <t>chargeback</t>
        </is>
      </c>
      <c r="H507" s="2" t="n">
        <v>96</v>
      </c>
      <c r="I507" s="2">
        <f>IFERROR(VLOOKUP(C507,Merchants!$A$2:$D$41,2,FALSE),"Merchant not found")</f>
        <v/>
      </c>
      <c r="J507" s="2">
        <f>IFERROR(VLOOKUP(C507,Merchants!$A$2:$D$41,3,FALSE),"Merchant not found")</f>
        <v/>
      </c>
      <c r="K507" s="2">
        <f>IFERROR(VLOOKUP(C507,Merchants!$A$2:$D$41,4,FALSE),"Merchant not found")</f>
        <v/>
      </c>
      <c r="L507" s="2">
        <f>IFERROR(HLOOKUP(F507,Fee_Tiers!$B$4:$E$5,2,FALSE),0)</f>
        <v/>
      </c>
      <c r="M507" s="2">
        <f>IF(AND(E507&gt;500,K507&lt;&gt;"East"),"High-Value Merchant Day",IF(AND(E507&gt;500,K507="East"),"High-Value East (Excluded)",IF(E507&lt;=500,"Standard","Unknown")))</f>
        <v/>
      </c>
    </row>
    <row r="508">
      <c r="A508" s="2" t="inlineStr">
        <is>
          <t>TXN200006</t>
        </is>
      </c>
      <c r="B508" s="2" t="n">
        <v>357</v>
      </c>
      <c r="C508" s="2" t="n">
        <v>37</v>
      </c>
      <c r="D508" s="2" t="inlineStr">
        <is>
          <t>2026-01-23 11:00:00</t>
        </is>
      </c>
      <c r="E508" s="2" t="n">
        <v>1999</v>
      </c>
      <c r="F508" s="2" t="inlineStr">
        <is>
          <t>Card</t>
        </is>
      </c>
      <c r="G508" s="2" t="inlineStr">
        <is>
          <t>chargeback</t>
        </is>
      </c>
      <c r="H508" s="2" t="n">
        <v>88</v>
      </c>
      <c r="I508" s="2">
        <f>IFERROR(VLOOKUP(C508,Merchants!$A$2:$D$41,2,FALSE),"Merchant not found")</f>
        <v/>
      </c>
      <c r="J508" s="2">
        <f>IFERROR(VLOOKUP(C508,Merchants!$A$2:$D$41,3,FALSE),"Merchant not found")</f>
        <v/>
      </c>
      <c r="K508" s="2">
        <f>IFERROR(VLOOKUP(C508,Merchants!$A$2:$D$41,4,FALSE),"Merchant not found")</f>
        <v/>
      </c>
      <c r="L508" s="2">
        <f>IFERROR(HLOOKUP(F508,Fee_Tiers!$B$4:$E$5,2,FALSE),0)</f>
        <v/>
      </c>
      <c r="M508" s="2">
        <f>IF(AND(E508&gt;500,K508&lt;&gt;"East"),"High-Value Merchant Day",IF(AND(E508&gt;500,K508="East"),"High-Value East (Excluded)",IF(E508&lt;=500,"Standard","Unknown")))</f>
        <v/>
      </c>
    </row>
    <row r="509">
      <c r="A509" s="2" t="inlineStr">
        <is>
          <t>TXN200007</t>
        </is>
      </c>
      <c r="B509" s="2" t="n">
        <v>358</v>
      </c>
      <c r="C509" s="2" t="n">
        <v>36</v>
      </c>
      <c r="D509" s="2" t="inlineStr">
        <is>
          <t>2026-01-28 05:00:00</t>
        </is>
      </c>
      <c r="E509" s="2" t="n">
        <v>999</v>
      </c>
      <c r="F509" s="2" t="inlineStr">
        <is>
          <t>Card</t>
        </is>
      </c>
      <c r="G509" s="2" t="inlineStr">
        <is>
          <t>chargeback</t>
        </is>
      </c>
      <c r="H509" s="2" t="n">
        <v>100</v>
      </c>
      <c r="I509" s="2">
        <f>IFERROR(VLOOKUP(C509,Merchants!$A$2:$D$41,2,FALSE),"Merchant not found")</f>
        <v/>
      </c>
      <c r="J509" s="2">
        <f>IFERROR(VLOOKUP(C509,Merchants!$A$2:$D$41,3,FALSE),"Merchant not found")</f>
        <v/>
      </c>
      <c r="K509" s="2">
        <f>IFERROR(VLOOKUP(C509,Merchants!$A$2:$D$41,4,FALSE),"Merchant not found")</f>
        <v/>
      </c>
      <c r="L509" s="2">
        <f>IFERROR(HLOOKUP(F509,Fee_Tiers!$B$4:$E$5,2,FALSE),0)</f>
        <v/>
      </c>
      <c r="M509" s="2">
        <f>IF(AND(E509&gt;500,K509&lt;&gt;"East"),"High-Value Merchant Day",IF(AND(E509&gt;500,K509="East"),"High-Value East (Excluded)",IF(E509&lt;=500,"Standard","Unknown")))</f>
        <v/>
      </c>
    </row>
    <row r="510">
      <c r="A510" s="2" t="inlineStr">
        <is>
          <t>TXN200008</t>
        </is>
      </c>
      <c r="B510" s="2" t="n">
        <v>359</v>
      </c>
      <c r="C510" s="2" t="n">
        <v>29</v>
      </c>
      <c r="D510" s="2" t="inlineStr">
        <is>
          <t>2026-01-25 22:00:00</t>
        </is>
      </c>
      <c r="E510" s="2" t="n">
        <v>2999</v>
      </c>
      <c r="F510" s="2" t="inlineStr">
        <is>
          <t>Card</t>
        </is>
      </c>
      <c r="G510" s="2" t="inlineStr">
        <is>
          <t>chargeback</t>
        </is>
      </c>
      <c r="H510" s="2" t="n">
        <v>96</v>
      </c>
      <c r="I510" s="2">
        <f>IFERROR(VLOOKUP(C510,Merchants!$A$2:$D$41,2,FALSE),"Merchant not found")</f>
        <v/>
      </c>
      <c r="J510" s="2">
        <f>IFERROR(VLOOKUP(C510,Merchants!$A$2:$D$41,3,FALSE),"Merchant not found")</f>
        <v/>
      </c>
      <c r="K510" s="2">
        <f>IFERROR(VLOOKUP(C510,Merchants!$A$2:$D$41,4,FALSE),"Merchant not found")</f>
        <v/>
      </c>
      <c r="L510" s="2">
        <f>IFERROR(HLOOKUP(F510,Fee_Tiers!$B$4:$E$5,2,FALSE),0)</f>
        <v/>
      </c>
      <c r="M510" s="2">
        <f>IF(AND(E510&gt;500,K510&lt;&gt;"East"),"High-Value Merchant Day",IF(AND(E510&gt;500,K510="East"),"High-Value East (Excluded)",IF(E510&lt;=500,"Standard","Unknown")))</f>
        <v/>
      </c>
    </row>
    <row r="511">
      <c r="A511" s="2" t="inlineStr">
        <is>
          <t>TXN200009</t>
        </is>
      </c>
      <c r="B511" s="2" t="n">
        <v>360</v>
      </c>
      <c r="C511" s="2" t="n">
        <v>32</v>
      </c>
      <c r="D511" s="2" t="inlineStr">
        <is>
          <t>2026-01-13 13:00:00</t>
        </is>
      </c>
      <c r="E511" s="2" t="n">
        <v>1999</v>
      </c>
      <c r="F511" s="2" t="inlineStr">
        <is>
          <t>Card</t>
        </is>
      </c>
      <c r="G511" s="2" t="inlineStr">
        <is>
          <t>chargeback</t>
        </is>
      </c>
      <c r="H511" s="2" t="n">
        <v>90</v>
      </c>
      <c r="I511" s="2">
        <f>IFERROR(VLOOKUP(C511,Merchants!$A$2:$D$41,2,FALSE),"Merchant not found")</f>
        <v/>
      </c>
      <c r="J511" s="2">
        <f>IFERROR(VLOOKUP(C511,Merchants!$A$2:$D$41,3,FALSE),"Merchant not found")</f>
        <v/>
      </c>
      <c r="K511" s="2">
        <f>IFERROR(VLOOKUP(C511,Merchants!$A$2:$D$41,4,FALSE),"Merchant not found")</f>
        <v/>
      </c>
      <c r="L511" s="2">
        <f>IFERROR(HLOOKUP(F511,Fee_Tiers!$B$4:$E$5,2,FALSE),0)</f>
        <v/>
      </c>
      <c r="M511" s="2">
        <f>IF(AND(E511&gt;500,K511&lt;&gt;"East"),"High-Value Merchant Day",IF(AND(E511&gt;500,K511="East"),"High-Value East (Excluded)",IF(E511&lt;=500,"Standard","Unknown")))</f>
        <v/>
      </c>
    </row>
    <row r="512">
      <c r="A512" s="2" t="inlineStr">
        <is>
          <t>TXN200010</t>
        </is>
      </c>
      <c r="B512" s="2" t="n">
        <v>361</v>
      </c>
      <c r="C512" s="2" t="n">
        <v>10</v>
      </c>
      <c r="D512" s="2" t="inlineStr">
        <is>
          <t>2026-01-20 07:00:00</t>
        </is>
      </c>
      <c r="E512" s="2" t="n">
        <v>4999</v>
      </c>
      <c r="F512" s="2" t="inlineStr">
        <is>
          <t>Card</t>
        </is>
      </c>
      <c r="G512" s="2" t="inlineStr">
        <is>
          <t>chargeback</t>
        </is>
      </c>
      <c r="H512" s="2" t="n">
        <v>95</v>
      </c>
      <c r="I512" s="2">
        <f>IFERROR(VLOOKUP(C512,Merchants!$A$2:$D$41,2,FALSE),"Merchant not found")</f>
        <v/>
      </c>
      <c r="J512" s="2">
        <f>IFERROR(VLOOKUP(C512,Merchants!$A$2:$D$41,3,FALSE),"Merchant not found")</f>
        <v/>
      </c>
      <c r="K512" s="2">
        <f>IFERROR(VLOOKUP(C512,Merchants!$A$2:$D$41,4,FALSE),"Merchant not found")</f>
        <v/>
      </c>
      <c r="L512" s="2">
        <f>IFERROR(HLOOKUP(F512,Fee_Tiers!$B$4:$E$5,2,FALSE),0)</f>
        <v/>
      </c>
      <c r="M512" s="2">
        <f>IF(AND(E512&gt;500,K512&lt;&gt;"East"),"High-Value Merchant Day",IF(AND(E512&gt;500,K512="East"),"High-Value East (Excluded)",IF(E512&lt;=500,"Standard","Unknown")))</f>
        <v/>
      </c>
    </row>
    <row r="513">
      <c r="A513" s="2" t="inlineStr">
        <is>
          <t>TXN200011</t>
        </is>
      </c>
      <c r="B513" s="2" t="n">
        <v>362</v>
      </c>
      <c r="C513" s="2" t="n">
        <v>39</v>
      </c>
      <c r="D513" s="2" t="inlineStr">
        <is>
          <t>2026-01-23 02:00:00</t>
        </is>
      </c>
      <c r="E513" s="2" t="n">
        <v>4999</v>
      </c>
      <c r="F513" s="2" t="inlineStr">
        <is>
          <t>Card</t>
        </is>
      </c>
      <c r="G513" s="2" t="inlineStr">
        <is>
          <t>chargeback</t>
        </is>
      </c>
      <c r="H513" s="2" t="n">
        <v>88</v>
      </c>
      <c r="I513" s="2">
        <f>IFERROR(VLOOKUP(C513,Merchants!$A$2:$D$41,2,FALSE),"Merchant not found")</f>
        <v/>
      </c>
      <c r="J513" s="2">
        <f>IFERROR(VLOOKUP(C513,Merchants!$A$2:$D$41,3,FALSE),"Merchant not found")</f>
        <v/>
      </c>
      <c r="K513" s="2">
        <f>IFERROR(VLOOKUP(C513,Merchants!$A$2:$D$41,4,FALSE),"Merchant not found")</f>
        <v/>
      </c>
      <c r="L513" s="2">
        <f>IFERROR(HLOOKUP(F513,Fee_Tiers!$B$4:$E$5,2,FALSE),0)</f>
        <v/>
      </c>
      <c r="M513" s="2">
        <f>IF(AND(E513&gt;500,K513&lt;&gt;"East"),"High-Value Merchant Day",IF(AND(E513&gt;500,K513="East"),"High-Value East (Excluded)",IF(E513&lt;=500,"Standard","Unknown")))</f>
        <v/>
      </c>
    </row>
    <row r="514">
      <c r="A514" s="2" t="inlineStr">
        <is>
          <t>TXN200012</t>
        </is>
      </c>
      <c r="B514" s="2" t="n">
        <v>363</v>
      </c>
      <c r="C514" s="2" t="n">
        <v>27</v>
      </c>
      <c r="D514" s="2" t="inlineStr">
        <is>
          <t>2026-01-23 17:00:00</t>
        </is>
      </c>
      <c r="E514" s="2" t="n">
        <v>999</v>
      </c>
      <c r="F514" s="2" t="inlineStr">
        <is>
          <t>Card</t>
        </is>
      </c>
      <c r="G514" s="2" t="inlineStr">
        <is>
          <t>chargeback</t>
        </is>
      </c>
      <c r="H514" s="2" t="n">
        <v>95</v>
      </c>
      <c r="I514" s="2">
        <f>IFERROR(VLOOKUP(C514,Merchants!$A$2:$D$41,2,FALSE),"Merchant not found")</f>
        <v/>
      </c>
      <c r="J514" s="2">
        <f>IFERROR(VLOOKUP(C514,Merchants!$A$2:$D$41,3,FALSE),"Merchant not found")</f>
        <v/>
      </c>
      <c r="K514" s="2">
        <f>IFERROR(VLOOKUP(C514,Merchants!$A$2:$D$41,4,FALSE),"Merchant not found")</f>
        <v/>
      </c>
      <c r="L514" s="2">
        <f>IFERROR(HLOOKUP(F514,Fee_Tiers!$B$4:$E$5,2,FALSE),0)</f>
        <v/>
      </c>
      <c r="M514" s="2">
        <f>IF(AND(E514&gt;500,K514&lt;&gt;"East"),"High-Value Merchant Day",IF(AND(E514&gt;500,K514="East"),"High-Value East (Excluded)",IF(E514&lt;=500,"Standard","Unknown")))</f>
        <v/>
      </c>
    </row>
    <row r="515">
      <c r="A515" s="2" t="inlineStr">
        <is>
          <t>TXN200013</t>
        </is>
      </c>
      <c r="B515" s="2" t="n">
        <v>364</v>
      </c>
      <c r="C515" s="2" t="n">
        <v>39</v>
      </c>
      <c r="D515" s="2" t="inlineStr">
        <is>
          <t>2026-01-22 22:00:00</t>
        </is>
      </c>
      <c r="E515" s="2" t="n">
        <v>999</v>
      </c>
      <c r="F515" s="2" t="inlineStr">
        <is>
          <t>Card</t>
        </is>
      </c>
      <c r="G515" s="2" t="inlineStr">
        <is>
          <t>chargeback</t>
        </is>
      </c>
      <c r="H515" s="2" t="n">
        <v>73</v>
      </c>
      <c r="I515" s="2">
        <f>IFERROR(VLOOKUP(C515,Merchants!$A$2:$D$41,2,FALSE),"Merchant not found")</f>
        <v/>
      </c>
      <c r="J515" s="2">
        <f>IFERROR(VLOOKUP(C515,Merchants!$A$2:$D$41,3,FALSE),"Merchant not found")</f>
        <v/>
      </c>
      <c r="K515" s="2">
        <f>IFERROR(VLOOKUP(C515,Merchants!$A$2:$D$41,4,FALSE),"Merchant not found")</f>
        <v/>
      </c>
      <c r="L515" s="2">
        <f>IFERROR(HLOOKUP(F515,Fee_Tiers!$B$4:$E$5,2,FALSE),0)</f>
        <v/>
      </c>
      <c r="M515" s="2">
        <f>IF(AND(E515&gt;500,K515&lt;&gt;"East"),"High-Value Merchant Day",IF(AND(E515&gt;500,K515="East"),"High-Value East (Excluded)",IF(E515&lt;=500,"Standard","Unknown")))</f>
        <v/>
      </c>
    </row>
    <row r="516">
      <c r="A516" s="2" t="inlineStr">
        <is>
          <t>TXN200014</t>
        </is>
      </c>
      <c r="B516" s="2" t="n">
        <v>365</v>
      </c>
      <c r="C516" s="2" t="n">
        <v>23</v>
      </c>
      <c r="D516" s="2" t="inlineStr">
        <is>
          <t>2026-01-18 21:00:00</t>
        </is>
      </c>
      <c r="E516" s="2" t="n">
        <v>1999</v>
      </c>
      <c r="F516" s="2" t="inlineStr">
        <is>
          <t>Card</t>
        </is>
      </c>
      <c r="G516" s="2" t="inlineStr">
        <is>
          <t>chargeback</t>
        </is>
      </c>
      <c r="H516" s="2" t="n">
        <v>90</v>
      </c>
      <c r="I516" s="2">
        <f>IFERROR(VLOOKUP(C516,Merchants!$A$2:$D$41,2,FALSE),"Merchant not found")</f>
        <v/>
      </c>
      <c r="J516" s="2">
        <f>IFERROR(VLOOKUP(C516,Merchants!$A$2:$D$41,3,FALSE),"Merchant not found")</f>
        <v/>
      </c>
      <c r="K516" s="2">
        <f>IFERROR(VLOOKUP(C516,Merchants!$A$2:$D$41,4,FALSE),"Merchant not found")</f>
        <v/>
      </c>
      <c r="L516" s="2">
        <f>IFERROR(HLOOKUP(F516,Fee_Tiers!$B$4:$E$5,2,FALSE),0)</f>
        <v/>
      </c>
      <c r="M516" s="2">
        <f>IF(AND(E516&gt;500,K516&lt;&gt;"East"),"High-Value Merchant Day",IF(AND(E516&gt;500,K516="East"),"High-Value East (Excluded)",IF(E516&lt;=500,"Standard","Unknown")))</f>
        <v/>
      </c>
    </row>
    <row r="517">
      <c r="A517" s="2" t="inlineStr">
        <is>
          <t>TXN300000</t>
        </is>
      </c>
      <c r="B517" s="2" t="n">
        <v>314</v>
      </c>
      <c r="C517" s="2" t="n">
        <v>26</v>
      </c>
      <c r="D517" s="2" t="inlineStr">
        <is>
          <t>2026-01-02 18:00:00</t>
        </is>
      </c>
      <c r="E517" s="2" t="n">
        <v>399</v>
      </c>
      <c r="F517" s="2" t="inlineStr">
        <is>
          <t>Card</t>
        </is>
      </c>
      <c r="G517" s="2" t="inlineStr">
        <is>
          <t>failed</t>
        </is>
      </c>
      <c r="H517" s="2" t="n">
        <v>87</v>
      </c>
      <c r="I517" s="2">
        <f>IFERROR(VLOOKUP(C517,Merchants!$A$2:$D$41,2,FALSE),"Merchant not found")</f>
        <v/>
      </c>
      <c r="J517" s="2">
        <f>IFERROR(VLOOKUP(C517,Merchants!$A$2:$D$41,3,FALSE),"Merchant not found")</f>
        <v/>
      </c>
      <c r="K517" s="2">
        <f>IFERROR(VLOOKUP(C517,Merchants!$A$2:$D$41,4,FALSE),"Merchant not found")</f>
        <v/>
      </c>
      <c r="L517" s="2">
        <f>IFERROR(HLOOKUP(F517,Fee_Tiers!$B$4:$E$5,2,FALSE),0)</f>
        <v/>
      </c>
      <c r="M517" s="2">
        <f>IF(AND(E517&gt;500,K517&lt;&gt;"East"),"High-Value Merchant Day",IF(AND(E517&gt;500,K517="East"),"High-Value East (Excluded)",IF(E517&lt;=500,"Standard","Unknown")))</f>
        <v/>
      </c>
    </row>
    <row r="518">
      <c r="A518" s="2" t="inlineStr">
        <is>
          <t>TXN300001</t>
        </is>
      </c>
      <c r="B518" s="2" t="n">
        <v>314</v>
      </c>
      <c r="C518" s="2" t="n">
        <v>7</v>
      </c>
      <c r="D518" s="2" t="inlineStr">
        <is>
          <t>2026-01-02 18:01:00</t>
        </is>
      </c>
      <c r="E518" s="2" t="n">
        <v>299</v>
      </c>
      <c r="F518" s="2" t="inlineStr">
        <is>
          <t>Card</t>
        </is>
      </c>
      <c r="G518" s="2" t="inlineStr">
        <is>
          <t>failed</t>
        </is>
      </c>
      <c r="H518" s="2" t="n">
        <v>66</v>
      </c>
      <c r="I518" s="2">
        <f>IFERROR(VLOOKUP(C518,Merchants!$A$2:$D$41,2,FALSE),"Merchant not found")</f>
        <v/>
      </c>
      <c r="J518" s="2">
        <f>IFERROR(VLOOKUP(C518,Merchants!$A$2:$D$41,3,FALSE),"Merchant not found")</f>
        <v/>
      </c>
      <c r="K518" s="2">
        <f>IFERROR(VLOOKUP(C518,Merchants!$A$2:$D$41,4,FALSE),"Merchant not found")</f>
        <v/>
      </c>
      <c r="L518" s="2">
        <f>IFERROR(HLOOKUP(F518,Fee_Tiers!$B$4:$E$5,2,FALSE),0)</f>
        <v/>
      </c>
      <c r="M518" s="2">
        <f>IF(AND(E518&gt;500,K518&lt;&gt;"East"),"High-Value Merchant Day",IF(AND(E518&gt;500,K518="East"),"High-Value East (Excluded)",IF(E518&lt;=500,"Standard","Unknown")))</f>
        <v/>
      </c>
    </row>
    <row r="519">
      <c r="A519" s="2" t="inlineStr">
        <is>
          <t>TXN300002</t>
        </is>
      </c>
      <c r="B519" s="2" t="n">
        <v>314</v>
      </c>
      <c r="C519" s="2" t="n">
        <v>17</v>
      </c>
      <c r="D519" s="2" t="inlineStr">
        <is>
          <t>2026-01-02 18:02:00</t>
        </is>
      </c>
      <c r="E519" s="2" t="n">
        <v>299</v>
      </c>
      <c r="F519" s="2" t="inlineStr">
        <is>
          <t>Card</t>
        </is>
      </c>
      <c r="G519" s="2" t="inlineStr">
        <is>
          <t>failed</t>
        </is>
      </c>
      <c r="H519" s="2" t="n">
        <v>92</v>
      </c>
      <c r="I519" s="2">
        <f>IFERROR(VLOOKUP(C519,Merchants!$A$2:$D$41,2,FALSE),"Merchant not found")</f>
        <v/>
      </c>
      <c r="J519" s="2">
        <f>IFERROR(VLOOKUP(C519,Merchants!$A$2:$D$41,3,FALSE),"Merchant not found")</f>
        <v/>
      </c>
      <c r="K519" s="2">
        <f>IFERROR(VLOOKUP(C519,Merchants!$A$2:$D$41,4,FALSE),"Merchant not found")</f>
        <v/>
      </c>
      <c r="L519" s="2">
        <f>IFERROR(HLOOKUP(F519,Fee_Tiers!$B$4:$E$5,2,FALSE),0)</f>
        <v/>
      </c>
      <c r="M519" s="2">
        <f>IF(AND(E519&gt;500,K519&lt;&gt;"East"),"High-Value Merchant Day",IF(AND(E519&gt;500,K519="East"),"High-Value East (Excluded)",IF(E519&lt;=500,"Standard","Unknown")))</f>
        <v/>
      </c>
    </row>
    <row r="520">
      <c r="A520" s="2" t="inlineStr">
        <is>
          <t>TXN300003</t>
        </is>
      </c>
      <c r="B520" s="2" t="n">
        <v>314</v>
      </c>
      <c r="C520" s="2" t="n">
        <v>34</v>
      </c>
      <c r="D520" s="2" t="inlineStr">
        <is>
          <t>2026-01-02 18:03:00</t>
        </is>
      </c>
      <c r="E520" s="2" t="n">
        <v>499</v>
      </c>
      <c r="F520" s="2" t="inlineStr">
        <is>
          <t>Card</t>
        </is>
      </c>
      <c r="G520" s="2" t="inlineStr">
        <is>
          <t>captured</t>
        </is>
      </c>
      <c r="H520" s="2" t="n">
        <v>74</v>
      </c>
      <c r="I520" s="2">
        <f>IFERROR(VLOOKUP(C520,Merchants!$A$2:$D$41,2,FALSE),"Merchant not found")</f>
        <v/>
      </c>
      <c r="J520" s="2">
        <f>IFERROR(VLOOKUP(C520,Merchants!$A$2:$D$41,3,FALSE),"Merchant not found")</f>
        <v/>
      </c>
      <c r="K520" s="2">
        <f>IFERROR(VLOOKUP(C520,Merchants!$A$2:$D$41,4,FALSE),"Merchant not found")</f>
        <v/>
      </c>
      <c r="L520" s="2">
        <f>IFERROR(HLOOKUP(F520,Fee_Tiers!$B$4:$E$5,2,FALSE),0)</f>
        <v/>
      </c>
      <c r="M520" s="2">
        <f>IF(AND(E520&gt;500,K520&lt;&gt;"East"),"High-Value Merchant Day",IF(AND(E520&gt;500,K520="East"),"High-Value East (Excluded)",IF(E520&lt;=500,"Standard","Unknown")))</f>
        <v/>
      </c>
    </row>
    <row r="521">
      <c r="A521" s="2" t="inlineStr">
        <is>
          <t>TXN300004</t>
        </is>
      </c>
      <c r="B521" s="2" t="n">
        <v>229</v>
      </c>
      <c r="C521" s="2" t="n">
        <v>30</v>
      </c>
      <c r="D521" s="2" t="inlineStr">
        <is>
          <t>2026-01-12 12:00:00</t>
        </is>
      </c>
      <c r="E521" s="2" t="n">
        <v>499</v>
      </c>
      <c r="F521" s="2" t="inlineStr">
        <is>
          <t>Card</t>
        </is>
      </c>
      <c r="G521" s="2" t="inlineStr">
        <is>
          <t>failed</t>
        </is>
      </c>
      <c r="H521" s="2" t="n">
        <v>92</v>
      </c>
      <c r="I521" s="2">
        <f>IFERROR(VLOOKUP(C521,Merchants!$A$2:$D$41,2,FALSE),"Merchant not found")</f>
        <v/>
      </c>
      <c r="J521" s="2">
        <f>IFERROR(VLOOKUP(C521,Merchants!$A$2:$D$41,3,FALSE),"Merchant not found")</f>
        <v/>
      </c>
      <c r="K521" s="2">
        <f>IFERROR(VLOOKUP(C521,Merchants!$A$2:$D$41,4,FALSE),"Merchant not found")</f>
        <v/>
      </c>
      <c r="L521" s="2">
        <f>IFERROR(HLOOKUP(F521,Fee_Tiers!$B$4:$E$5,2,FALSE),0)</f>
        <v/>
      </c>
      <c r="M521" s="2">
        <f>IF(AND(E521&gt;500,K521&lt;&gt;"East"),"High-Value Merchant Day",IF(AND(E521&gt;500,K521="East"),"High-Value East (Excluded)",IF(E521&lt;=500,"Standard","Unknown")))</f>
        <v/>
      </c>
    </row>
    <row r="522">
      <c r="A522" s="2" t="inlineStr">
        <is>
          <t>TXN300005</t>
        </is>
      </c>
      <c r="B522" s="2" t="n">
        <v>229</v>
      </c>
      <c r="C522" s="2" t="n">
        <v>10</v>
      </c>
      <c r="D522" s="2" t="inlineStr">
        <is>
          <t>2026-01-12 12:01:00</t>
        </is>
      </c>
      <c r="E522" s="2" t="n">
        <v>399</v>
      </c>
      <c r="F522" s="2" t="inlineStr">
        <is>
          <t>Card</t>
        </is>
      </c>
      <c r="G522" s="2" t="inlineStr">
        <is>
          <t>failed</t>
        </is>
      </c>
      <c r="H522" s="2" t="n">
        <v>61</v>
      </c>
      <c r="I522" s="2">
        <f>IFERROR(VLOOKUP(C522,Merchants!$A$2:$D$41,2,FALSE),"Merchant not found")</f>
        <v/>
      </c>
      <c r="J522" s="2">
        <f>IFERROR(VLOOKUP(C522,Merchants!$A$2:$D$41,3,FALSE),"Merchant not found")</f>
        <v/>
      </c>
      <c r="K522" s="2">
        <f>IFERROR(VLOOKUP(C522,Merchants!$A$2:$D$41,4,FALSE),"Merchant not found")</f>
        <v/>
      </c>
      <c r="L522" s="2">
        <f>IFERROR(HLOOKUP(F522,Fee_Tiers!$B$4:$E$5,2,FALSE),0)</f>
        <v/>
      </c>
      <c r="M522" s="2">
        <f>IF(AND(E522&gt;500,K522&lt;&gt;"East"),"High-Value Merchant Day",IF(AND(E522&gt;500,K522="East"),"High-Value East (Excluded)",IF(E522&lt;=500,"Standard","Unknown")))</f>
        <v/>
      </c>
    </row>
    <row r="523">
      <c r="A523" s="2" t="inlineStr">
        <is>
          <t>TXN300006</t>
        </is>
      </c>
      <c r="B523" s="2" t="n">
        <v>229</v>
      </c>
      <c r="C523" s="2" t="n">
        <v>31</v>
      </c>
      <c r="D523" s="2" t="inlineStr">
        <is>
          <t>2026-01-12 12:02:00</t>
        </is>
      </c>
      <c r="E523" s="2" t="n">
        <v>299</v>
      </c>
      <c r="F523" s="2" t="inlineStr">
        <is>
          <t>Card</t>
        </is>
      </c>
      <c r="G523" s="2" t="inlineStr">
        <is>
          <t>failed</t>
        </is>
      </c>
      <c r="H523" s="2" t="n">
        <v>78</v>
      </c>
      <c r="I523" s="2">
        <f>IFERROR(VLOOKUP(C523,Merchants!$A$2:$D$41,2,FALSE),"Merchant not found")</f>
        <v/>
      </c>
      <c r="J523" s="2">
        <f>IFERROR(VLOOKUP(C523,Merchants!$A$2:$D$41,3,FALSE),"Merchant not found")</f>
        <v/>
      </c>
      <c r="K523" s="2">
        <f>IFERROR(VLOOKUP(C523,Merchants!$A$2:$D$41,4,FALSE),"Merchant not found")</f>
        <v/>
      </c>
      <c r="L523" s="2">
        <f>IFERROR(HLOOKUP(F523,Fee_Tiers!$B$4:$E$5,2,FALSE),0)</f>
        <v/>
      </c>
      <c r="M523" s="2">
        <f>IF(AND(E523&gt;500,K523&lt;&gt;"East"),"High-Value Merchant Day",IF(AND(E523&gt;500,K523="East"),"High-Value East (Excluded)",IF(E523&lt;=500,"Standard","Unknown")))</f>
        <v/>
      </c>
    </row>
    <row r="524">
      <c r="A524" s="2" t="inlineStr">
        <is>
          <t>TXN300007</t>
        </is>
      </c>
      <c r="B524" s="2" t="n">
        <v>229</v>
      </c>
      <c r="C524" s="2" t="n">
        <v>27</v>
      </c>
      <c r="D524" s="2" t="inlineStr">
        <is>
          <t>2026-01-12 12:03:00</t>
        </is>
      </c>
      <c r="E524" s="2" t="n">
        <v>299</v>
      </c>
      <c r="F524" s="2" t="inlineStr">
        <is>
          <t>Card</t>
        </is>
      </c>
      <c r="G524" s="2" t="inlineStr">
        <is>
          <t>captured</t>
        </is>
      </c>
      <c r="H524" s="2" t="n">
        <v>67</v>
      </c>
      <c r="I524" s="2">
        <f>IFERROR(VLOOKUP(C524,Merchants!$A$2:$D$41,2,FALSE),"Merchant not found")</f>
        <v/>
      </c>
      <c r="J524" s="2">
        <f>IFERROR(VLOOKUP(C524,Merchants!$A$2:$D$41,3,FALSE),"Merchant not found")</f>
        <v/>
      </c>
      <c r="K524" s="2">
        <f>IFERROR(VLOOKUP(C524,Merchants!$A$2:$D$41,4,FALSE),"Merchant not found")</f>
        <v/>
      </c>
      <c r="L524" s="2">
        <f>IFERROR(HLOOKUP(F524,Fee_Tiers!$B$4:$E$5,2,FALSE),0)</f>
        <v/>
      </c>
      <c r="M524" s="2">
        <f>IF(AND(E524&gt;500,K524&lt;&gt;"East"),"High-Value Merchant Day",IF(AND(E524&gt;500,K524="East"),"High-Value East (Excluded)",IF(E524&lt;=500,"Standard","Unknown")))</f>
        <v/>
      </c>
    </row>
    <row r="525">
      <c r="A525" s="2" t="inlineStr">
        <is>
          <t>TXN300008</t>
        </is>
      </c>
      <c r="B525" s="2" t="n">
        <v>73</v>
      </c>
      <c r="C525" s="2" t="n">
        <v>22</v>
      </c>
      <c r="D525" s="2" t="inlineStr">
        <is>
          <t>2026-01-12 09:00:00</t>
        </is>
      </c>
      <c r="E525" s="2" t="n">
        <v>399</v>
      </c>
      <c r="F525" s="2" t="inlineStr">
        <is>
          <t>Card</t>
        </is>
      </c>
      <c r="G525" s="2" t="inlineStr">
        <is>
          <t>failed</t>
        </is>
      </c>
      <c r="H525" s="2" t="n">
        <v>73</v>
      </c>
      <c r="I525" s="2">
        <f>IFERROR(VLOOKUP(C525,Merchants!$A$2:$D$41,2,FALSE),"Merchant not found")</f>
        <v/>
      </c>
      <c r="J525" s="2">
        <f>IFERROR(VLOOKUP(C525,Merchants!$A$2:$D$41,3,FALSE),"Merchant not found")</f>
        <v/>
      </c>
      <c r="K525" s="2">
        <f>IFERROR(VLOOKUP(C525,Merchants!$A$2:$D$41,4,FALSE),"Merchant not found")</f>
        <v/>
      </c>
      <c r="L525" s="2">
        <f>IFERROR(HLOOKUP(F525,Fee_Tiers!$B$4:$E$5,2,FALSE),0)</f>
        <v/>
      </c>
      <c r="M525" s="2">
        <f>IF(AND(E525&gt;500,K525&lt;&gt;"East"),"High-Value Merchant Day",IF(AND(E525&gt;500,K525="East"),"High-Value East (Excluded)",IF(E525&lt;=500,"Standard","Unknown")))</f>
        <v/>
      </c>
    </row>
    <row r="526">
      <c r="A526" s="2" t="inlineStr">
        <is>
          <t>TXN300009</t>
        </is>
      </c>
      <c r="B526" s="2" t="n">
        <v>73</v>
      </c>
      <c r="C526" s="2" t="n">
        <v>34</v>
      </c>
      <c r="D526" s="2" t="inlineStr">
        <is>
          <t>2026-01-12 09:01:00</t>
        </is>
      </c>
      <c r="E526" s="2" t="n">
        <v>399</v>
      </c>
      <c r="F526" s="2" t="inlineStr">
        <is>
          <t>Card</t>
        </is>
      </c>
      <c r="G526" s="2" t="inlineStr">
        <is>
          <t>failed</t>
        </is>
      </c>
      <c r="H526" s="2" t="n">
        <v>82</v>
      </c>
      <c r="I526" s="2">
        <f>IFERROR(VLOOKUP(C526,Merchants!$A$2:$D$41,2,FALSE),"Merchant not found")</f>
        <v/>
      </c>
      <c r="J526" s="2">
        <f>IFERROR(VLOOKUP(C526,Merchants!$A$2:$D$41,3,FALSE),"Merchant not found")</f>
        <v/>
      </c>
      <c r="K526" s="2">
        <f>IFERROR(VLOOKUP(C526,Merchants!$A$2:$D$41,4,FALSE),"Merchant not found")</f>
        <v/>
      </c>
      <c r="L526" s="2">
        <f>IFERROR(HLOOKUP(F526,Fee_Tiers!$B$4:$E$5,2,FALSE),0)</f>
        <v/>
      </c>
      <c r="M526" s="2">
        <f>IF(AND(E526&gt;500,K526&lt;&gt;"East"),"High-Value Merchant Day",IF(AND(E526&gt;500,K526="East"),"High-Value East (Excluded)",IF(E526&lt;=500,"Standard","Unknown")))</f>
        <v/>
      </c>
    </row>
    <row r="527">
      <c r="A527" s="2" t="inlineStr">
        <is>
          <t>TXN300010</t>
        </is>
      </c>
      <c r="B527" s="2" t="n">
        <v>73</v>
      </c>
      <c r="C527" s="2" t="n">
        <v>31</v>
      </c>
      <c r="D527" s="2" t="inlineStr">
        <is>
          <t>2026-01-12 09:02:00</t>
        </is>
      </c>
      <c r="E527" s="2" t="n">
        <v>299</v>
      </c>
      <c r="F527" s="2" t="inlineStr">
        <is>
          <t>Card</t>
        </is>
      </c>
      <c r="G527" s="2" t="inlineStr">
        <is>
          <t>failed</t>
        </is>
      </c>
      <c r="H527" s="2" t="n">
        <v>88</v>
      </c>
      <c r="I527" s="2">
        <f>IFERROR(VLOOKUP(C527,Merchants!$A$2:$D$41,2,FALSE),"Merchant not found")</f>
        <v/>
      </c>
      <c r="J527" s="2">
        <f>IFERROR(VLOOKUP(C527,Merchants!$A$2:$D$41,3,FALSE),"Merchant not found")</f>
        <v/>
      </c>
      <c r="K527" s="2">
        <f>IFERROR(VLOOKUP(C527,Merchants!$A$2:$D$41,4,FALSE),"Merchant not found")</f>
        <v/>
      </c>
      <c r="L527" s="2">
        <f>IFERROR(HLOOKUP(F527,Fee_Tiers!$B$4:$E$5,2,FALSE),0)</f>
        <v/>
      </c>
      <c r="M527" s="2">
        <f>IF(AND(E527&gt;500,K527&lt;&gt;"East"),"High-Value Merchant Day",IF(AND(E527&gt;500,K527="East"),"High-Value East (Excluded)",IF(E527&lt;=500,"Standard","Unknown")))</f>
        <v/>
      </c>
    </row>
    <row r="528">
      <c r="A528" s="2" t="inlineStr">
        <is>
          <t>TXN300011</t>
        </is>
      </c>
      <c r="B528" s="2" t="n">
        <v>73</v>
      </c>
      <c r="C528" s="2" t="n">
        <v>29</v>
      </c>
      <c r="D528" s="2" t="inlineStr">
        <is>
          <t>2026-01-12 09:03:00</t>
        </is>
      </c>
      <c r="E528" s="2" t="n">
        <v>399</v>
      </c>
      <c r="F528" s="2" t="inlineStr">
        <is>
          <t>Card</t>
        </is>
      </c>
      <c r="G528" s="2" t="inlineStr">
        <is>
          <t>captured</t>
        </is>
      </c>
      <c r="H528" s="2" t="n">
        <v>64</v>
      </c>
      <c r="I528" s="2">
        <f>IFERROR(VLOOKUP(C528,Merchants!$A$2:$D$41,2,FALSE),"Merchant not found")</f>
        <v/>
      </c>
      <c r="J528" s="2">
        <f>IFERROR(VLOOKUP(C528,Merchants!$A$2:$D$41,3,FALSE),"Merchant not found")</f>
        <v/>
      </c>
      <c r="K528" s="2">
        <f>IFERROR(VLOOKUP(C528,Merchants!$A$2:$D$41,4,FALSE),"Merchant not found")</f>
        <v/>
      </c>
      <c r="L528" s="2">
        <f>IFERROR(HLOOKUP(F528,Fee_Tiers!$B$4:$E$5,2,FALSE),0)</f>
        <v/>
      </c>
      <c r="M528" s="2">
        <f>IF(AND(E528&gt;500,K528&lt;&gt;"East"),"High-Value Merchant Day",IF(AND(E528&gt;500,K528="East"),"High-Value East (Excluded)",IF(E528&lt;=500,"Standard","Unknown")))</f>
        <v/>
      </c>
    </row>
    <row r="529">
      <c r="A529" s="2" t="inlineStr">
        <is>
          <t>TXN300012</t>
        </is>
      </c>
      <c r="B529" s="2" t="n">
        <v>154</v>
      </c>
      <c r="C529" s="2" t="n">
        <v>8</v>
      </c>
      <c r="D529" s="2" t="inlineStr">
        <is>
          <t>2026-01-02 22:00:00</t>
        </is>
      </c>
      <c r="E529" s="2" t="n">
        <v>299</v>
      </c>
      <c r="F529" s="2" t="inlineStr">
        <is>
          <t>Card</t>
        </is>
      </c>
      <c r="G529" s="2" t="inlineStr">
        <is>
          <t>failed</t>
        </is>
      </c>
      <c r="H529" s="2" t="n">
        <v>81</v>
      </c>
      <c r="I529" s="2">
        <f>IFERROR(VLOOKUP(C529,Merchants!$A$2:$D$41,2,FALSE),"Merchant not found")</f>
        <v/>
      </c>
      <c r="J529" s="2">
        <f>IFERROR(VLOOKUP(C529,Merchants!$A$2:$D$41,3,FALSE),"Merchant not found")</f>
        <v/>
      </c>
      <c r="K529" s="2">
        <f>IFERROR(VLOOKUP(C529,Merchants!$A$2:$D$41,4,FALSE),"Merchant not found")</f>
        <v/>
      </c>
      <c r="L529" s="2">
        <f>IFERROR(HLOOKUP(F529,Fee_Tiers!$B$4:$E$5,2,FALSE),0)</f>
        <v/>
      </c>
      <c r="M529" s="2">
        <f>IF(AND(E529&gt;500,K529&lt;&gt;"East"),"High-Value Merchant Day",IF(AND(E529&gt;500,K529="East"),"High-Value East (Excluded)",IF(E529&lt;=500,"Standard","Unknown")))</f>
        <v/>
      </c>
    </row>
    <row r="530">
      <c r="A530" s="2" t="inlineStr">
        <is>
          <t>TXN300013</t>
        </is>
      </c>
      <c r="B530" s="2" t="n">
        <v>154</v>
      </c>
      <c r="C530" s="2" t="n">
        <v>7</v>
      </c>
      <c r="D530" s="2" t="inlineStr">
        <is>
          <t>2026-01-02 22:01:00</t>
        </is>
      </c>
      <c r="E530" s="2" t="n">
        <v>499</v>
      </c>
      <c r="F530" s="2" t="inlineStr">
        <is>
          <t>Card</t>
        </is>
      </c>
      <c r="G530" s="2" t="inlineStr">
        <is>
          <t>failed</t>
        </is>
      </c>
      <c r="H530" s="2" t="n">
        <v>70</v>
      </c>
      <c r="I530" s="2">
        <f>IFERROR(VLOOKUP(C530,Merchants!$A$2:$D$41,2,FALSE),"Merchant not found")</f>
        <v/>
      </c>
      <c r="J530" s="2">
        <f>IFERROR(VLOOKUP(C530,Merchants!$A$2:$D$41,3,FALSE),"Merchant not found")</f>
        <v/>
      </c>
      <c r="K530" s="2">
        <f>IFERROR(VLOOKUP(C530,Merchants!$A$2:$D$41,4,FALSE),"Merchant not found")</f>
        <v/>
      </c>
      <c r="L530" s="2">
        <f>IFERROR(HLOOKUP(F530,Fee_Tiers!$B$4:$E$5,2,FALSE),0)</f>
        <v/>
      </c>
      <c r="M530" s="2">
        <f>IF(AND(E530&gt;500,K530&lt;&gt;"East"),"High-Value Merchant Day",IF(AND(E530&gt;500,K530="East"),"High-Value East (Excluded)",IF(E530&lt;=500,"Standard","Unknown")))</f>
        <v/>
      </c>
    </row>
    <row r="531">
      <c r="A531" s="2" t="inlineStr">
        <is>
          <t>TXN300014</t>
        </is>
      </c>
      <c r="B531" s="2" t="n">
        <v>154</v>
      </c>
      <c r="C531" s="2" t="n">
        <v>16</v>
      </c>
      <c r="D531" s="2" t="inlineStr">
        <is>
          <t>2026-01-02 22:02:00</t>
        </is>
      </c>
      <c r="E531" s="2" t="n">
        <v>499</v>
      </c>
      <c r="F531" s="2" t="inlineStr">
        <is>
          <t>Card</t>
        </is>
      </c>
      <c r="G531" s="2" t="inlineStr">
        <is>
          <t>failed</t>
        </is>
      </c>
      <c r="H531" s="2" t="n">
        <v>71</v>
      </c>
      <c r="I531" s="2">
        <f>IFERROR(VLOOKUP(C531,Merchants!$A$2:$D$41,2,FALSE),"Merchant not found")</f>
        <v/>
      </c>
      <c r="J531" s="2">
        <f>IFERROR(VLOOKUP(C531,Merchants!$A$2:$D$41,3,FALSE),"Merchant not found")</f>
        <v/>
      </c>
      <c r="K531" s="2">
        <f>IFERROR(VLOOKUP(C531,Merchants!$A$2:$D$41,4,FALSE),"Merchant not found")</f>
        <v/>
      </c>
      <c r="L531" s="2">
        <f>IFERROR(HLOOKUP(F531,Fee_Tiers!$B$4:$E$5,2,FALSE),0)</f>
        <v/>
      </c>
      <c r="M531" s="2">
        <f>IF(AND(E531&gt;500,K531&lt;&gt;"East"),"High-Value Merchant Day",IF(AND(E531&gt;500,K531="East"),"High-Value East (Excluded)",IF(E531&lt;=500,"Standard","Unknown")))</f>
        <v/>
      </c>
    </row>
    <row r="532">
      <c r="A532" s="2" t="inlineStr">
        <is>
          <t>TXN300015</t>
        </is>
      </c>
      <c r="B532" s="2" t="n">
        <v>154</v>
      </c>
      <c r="C532" s="2" t="n">
        <v>36</v>
      </c>
      <c r="D532" s="2" t="inlineStr">
        <is>
          <t>2026-01-02 22:03:00</t>
        </is>
      </c>
      <c r="E532" s="2" t="n">
        <v>299</v>
      </c>
      <c r="F532" s="2" t="inlineStr">
        <is>
          <t>Card</t>
        </is>
      </c>
      <c r="G532" s="2" t="inlineStr">
        <is>
          <t>captured</t>
        </is>
      </c>
      <c r="H532" s="2" t="n">
        <v>81</v>
      </c>
      <c r="I532" s="2">
        <f>IFERROR(VLOOKUP(C532,Merchants!$A$2:$D$41,2,FALSE),"Merchant not found")</f>
        <v/>
      </c>
      <c r="J532" s="2">
        <f>IFERROR(VLOOKUP(C532,Merchants!$A$2:$D$41,3,FALSE),"Merchant not found")</f>
        <v/>
      </c>
      <c r="K532" s="2">
        <f>IFERROR(VLOOKUP(C532,Merchants!$A$2:$D$41,4,FALSE),"Merchant not found")</f>
        <v/>
      </c>
      <c r="L532" s="2">
        <f>IFERROR(HLOOKUP(F532,Fee_Tiers!$B$4:$E$5,2,FALSE),0)</f>
        <v/>
      </c>
      <c r="M532" s="2">
        <f>IF(AND(E532&gt;500,K532&lt;&gt;"East"),"High-Value Merchant Day",IF(AND(E532&gt;500,K532="East"),"High-Value East (Excluded)",IF(E532&lt;=500,"Standard","Unknown")))</f>
        <v/>
      </c>
    </row>
    <row r="533">
      <c r="A533" s="2" t="inlineStr">
        <is>
          <t>TXN300016</t>
        </is>
      </c>
      <c r="B533" s="2" t="n">
        <v>287</v>
      </c>
      <c r="C533" s="2" t="n">
        <v>15</v>
      </c>
      <c r="D533" s="2" t="inlineStr">
        <is>
          <t>2026-01-14 14:00:00</t>
        </is>
      </c>
      <c r="E533" s="2" t="n">
        <v>399</v>
      </c>
      <c r="F533" s="2" t="inlineStr">
        <is>
          <t>Card</t>
        </is>
      </c>
      <c r="G533" s="2" t="inlineStr">
        <is>
          <t>failed</t>
        </is>
      </c>
      <c r="H533" s="2" t="n">
        <v>71</v>
      </c>
      <c r="I533" s="2">
        <f>IFERROR(VLOOKUP(C533,Merchants!$A$2:$D$41,2,FALSE),"Merchant not found")</f>
        <v/>
      </c>
      <c r="J533" s="2">
        <f>IFERROR(VLOOKUP(C533,Merchants!$A$2:$D$41,3,FALSE),"Merchant not found")</f>
        <v/>
      </c>
      <c r="K533" s="2">
        <f>IFERROR(VLOOKUP(C533,Merchants!$A$2:$D$41,4,FALSE),"Merchant not found")</f>
        <v/>
      </c>
      <c r="L533" s="2">
        <f>IFERROR(HLOOKUP(F533,Fee_Tiers!$B$4:$E$5,2,FALSE),0)</f>
        <v/>
      </c>
      <c r="M533" s="2">
        <f>IF(AND(E533&gt;500,K533&lt;&gt;"East"),"High-Value Merchant Day",IF(AND(E533&gt;500,K533="East"),"High-Value East (Excluded)",IF(E533&lt;=500,"Standard","Unknown")))</f>
        <v/>
      </c>
    </row>
    <row r="534">
      <c r="A534" s="2" t="inlineStr">
        <is>
          <t>TXN300017</t>
        </is>
      </c>
      <c r="B534" s="2" t="n">
        <v>287</v>
      </c>
      <c r="C534" s="2" t="n">
        <v>12</v>
      </c>
      <c r="D534" s="2" t="inlineStr">
        <is>
          <t>2026-01-14 14:01:00</t>
        </is>
      </c>
      <c r="E534" s="2" t="n">
        <v>499</v>
      </c>
      <c r="F534" s="2" t="inlineStr">
        <is>
          <t>Card</t>
        </is>
      </c>
      <c r="G534" s="2" t="inlineStr">
        <is>
          <t>failed</t>
        </is>
      </c>
      <c r="H534" s="2" t="n">
        <v>87</v>
      </c>
      <c r="I534" s="2">
        <f>IFERROR(VLOOKUP(C534,Merchants!$A$2:$D$41,2,FALSE),"Merchant not found")</f>
        <v/>
      </c>
      <c r="J534" s="2">
        <f>IFERROR(VLOOKUP(C534,Merchants!$A$2:$D$41,3,FALSE),"Merchant not found")</f>
        <v/>
      </c>
      <c r="K534" s="2">
        <f>IFERROR(VLOOKUP(C534,Merchants!$A$2:$D$41,4,FALSE),"Merchant not found")</f>
        <v/>
      </c>
      <c r="L534" s="2">
        <f>IFERROR(HLOOKUP(F534,Fee_Tiers!$B$4:$E$5,2,FALSE),0)</f>
        <v/>
      </c>
      <c r="M534" s="2">
        <f>IF(AND(E534&gt;500,K534&lt;&gt;"East"),"High-Value Merchant Day",IF(AND(E534&gt;500,K534="East"),"High-Value East (Excluded)",IF(E534&lt;=500,"Standard","Unknown")))</f>
        <v/>
      </c>
    </row>
    <row r="535">
      <c r="A535" s="2" t="inlineStr">
        <is>
          <t>TXN300018</t>
        </is>
      </c>
      <c r="B535" s="2" t="n">
        <v>287</v>
      </c>
      <c r="C535" s="2" t="n">
        <v>26</v>
      </c>
      <c r="D535" s="2" t="inlineStr">
        <is>
          <t>2026-01-14 14:02:00</t>
        </is>
      </c>
      <c r="E535" s="2" t="n">
        <v>299</v>
      </c>
      <c r="F535" s="2" t="inlineStr">
        <is>
          <t>Card</t>
        </is>
      </c>
      <c r="G535" s="2" t="inlineStr">
        <is>
          <t>failed</t>
        </is>
      </c>
      <c r="H535" s="2" t="n">
        <v>72</v>
      </c>
      <c r="I535" s="2">
        <f>IFERROR(VLOOKUP(C535,Merchants!$A$2:$D$41,2,FALSE),"Merchant not found")</f>
        <v/>
      </c>
      <c r="J535" s="2">
        <f>IFERROR(VLOOKUP(C535,Merchants!$A$2:$D$41,3,FALSE),"Merchant not found")</f>
        <v/>
      </c>
      <c r="K535" s="2">
        <f>IFERROR(VLOOKUP(C535,Merchants!$A$2:$D$41,4,FALSE),"Merchant not found")</f>
        <v/>
      </c>
      <c r="L535" s="2">
        <f>IFERROR(HLOOKUP(F535,Fee_Tiers!$B$4:$E$5,2,FALSE),0)</f>
        <v/>
      </c>
      <c r="M535" s="2">
        <f>IF(AND(E535&gt;500,K535&lt;&gt;"East"),"High-Value Merchant Day",IF(AND(E535&gt;500,K535="East"),"High-Value East (Excluded)",IF(E535&lt;=500,"Standard","Unknown")))</f>
        <v/>
      </c>
    </row>
    <row r="536">
      <c r="A536" s="2" t="inlineStr">
        <is>
          <t>TXN300019</t>
        </is>
      </c>
      <c r="B536" s="2" t="n">
        <v>287</v>
      </c>
      <c r="C536" s="2" t="n">
        <v>29</v>
      </c>
      <c r="D536" s="2" t="inlineStr">
        <is>
          <t>2026-01-14 14:03:00</t>
        </is>
      </c>
      <c r="E536" s="2" t="n">
        <v>499</v>
      </c>
      <c r="F536" s="2" t="inlineStr">
        <is>
          <t>Card</t>
        </is>
      </c>
      <c r="G536" s="2" t="inlineStr">
        <is>
          <t>captured</t>
        </is>
      </c>
      <c r="H536" s="2" t="n">
        <v>87</v>
      </c>
      <c r="I536" s="2">
        <f>IFERROR(VLOOKUP(C536,Merchants!$A$2:$D$41,2,FALSE),"Merchant not found")</f>
        <v/>
      </c>
      <c r="J536" s="2">
        <f>IFERROR(VLOOKUP(C536,Merchants!$A$2:$D$41,3,FALSE),"Merchant not found")</f>
        <v/>
      </c>
      <c r="K536" s="2">
        <f>IFERROR(VLOOKUP(C536,Merchants!$A$2:$D$41,4,FALSE),"Merchant not found")</f>
        <v/>
      </c>
      <c r="L536" s="2">
        <f>IFERROR(HLOOKUP(F536,Fee_Tiers!$B$4:$E$5,2,FALSE),0)</f>
        <v/>
      </c>
      <c r="M536" s="2">
        <f>IF(AND(E536&gt;500,K536&lt;&gt;"East"),"High-Value Merchant Day",IF(AND(E536&gt;500,K536="East"),"High-Value East (Excluded)",IF(E536&lt;=500,"Standard","Unknown")))</f>
        <v/>
      </c>
    </row>
    <row r="537">
      <c r="A537" s="2" t="inlineStr">
        <is>
          <t>TXN300020</t>
        </is>
      </c>
      <c r="B537" s="2" t="n">
        <v>200</v>
      </c>
      <c r="C537" s="2" t="n">
        <v>14</v>
      </c>
      <c r="D537" s="2" t="inlineStr">
        <is>
          <t>2026-01-01 22:00:00</t>
        </is>
      </c>
      <c r="E537" s="2" t="n">
        <v>299</v>
      </c>
      <c r="F537" s="2" t="inlineStr">
        <is>
          <t>Card</t>
        </is>
      </c>
      <c r="G537" s="2" t="inlineStr">
        <is>
          <t>failed</t>
        </is>
      </c>
      <c r="H537" s="2" t="n">
        <v>77</v>
      </c>
      <c r="I537" s="2">
        <f>IFERROR(VLOOKUP(C537,Merchants!$A$2:$D$41,2,FALSE),"Merchant not found")</f>
        <v/>
      </c>
      <c r="J537" s="2">
        <f>IFERROR(VLOOKUP(C537,Merchants!$A$2:$D$41,3,FALSE),"Merchant not found")</f>
        <v/>
      </c>
      <c r="K537" s="2">
        <f>IFERROR(VLOOKUP(C537,Merchants!$A$2:$D$41,4,FALSE),"Merchant not found")</f>
        <v/>
      </c>
      <c r="L537" s="2">
        <f>IFERROR(HLOOKUP(F537,Fee_Tiers!$B$4:$E$5,2,FALSE),0)</f>
        <v/>
      </c>
      <c r="M537" s="2">
        <f>IF(AND(E537&gt;500,K537&lt;&gt;"East"),"High-Value Merchant Day",IF(AND(E537&gt;500,K537="East"),"High-Value East (Excluded)",IF(E537&lt;=500,"Standard","Unknown")))</f>
        <v/>
      </c>
    </row>
    <row r="538">
      <c r="A538" s="2" t="inlineStr">
        <is>
          <t>TXN300021</t>
        </is>
      </c>
      <c r="B538" s="2" t="n">
        <v>200</v>
      </c>
      <c r="C538" s="2" t="n">
        <v>5</v>
      </c>
      <c r="D538" s="2" t="inlineStr">
        <is>
          <t>2026-01-01 22:01:00</t>
        </is>
      </c>
      <c r="E538" s="2" t="n">
        <v>499</v>
      </c>
      <c r="F538" s="2" t="inlineStr">
        <is>
          <t>Card</t>
        </is>
      </c>
      <c r="G538" s="2" t="inlineStr">
        <is>
          <t>failed</t>
        </is>
      </c>
      <c r="H538" s="2" t="n">
        <v>66</v>
      </c>
      <c r="I538" s="2">
        <f>IFERROR(VLOOKUP(C538,Merchants!$A$2:$D$41,2,FALSE),"Merchant not found")</f>
        <v/>
      </c>
      <c r="J538" s="2">
        <f>IFERROR(VLOOKUP(C538,Merchants!$A$2:$D$41,3,FALSE),"Merchant not found")</f>
        <v/>
      </c>
      <c r="K538" s="2">
        <f>IFERROR(VLOOKUP(C538,Merchants!$A$2:$D$41,4,FALSE),"Merchant not found")</f>
        <v/>
      </c>
      <c r="L538" s="2">
        <f>IFERROR(HLOOKUP(F538,Fee_Tiers!$B$4:$E$5,2,FALSE),0)</f>
        <v/>
      </c>
      <c r="M538" s="2">
        <f>IF(AND(E538&gt;500,K538&lt;&gt;"East"),"High-Value Merchant Day",IF(AND(E538&gt;500,K538="East"),"High-Value East (Excluded)",IF(E538&lt;=500,"Standard","Unknown")))</f>
        <v/>
      </c>
    </row>
    <row r="539">
      <c r="A539" s="2" t="inlineStr">
        <is>
          <t>TXN300022</t>
        </is>
      </c>
      <c r="B539" s="2" t="n">
        <v>200</v>
      </c>
      <c r="C539" s="2" t="n">
        <v>35</v>
      </c>
      <c r="D539" s="2" t="inlineStr">
        <is>
          <t>2026-01-01 22:02:00</t>
        </is>
      </c>
      <c r="E539" s="2" t="n">
        <v>299</v>
      </c>
      <c r="F539" s="2" t="inlineStr">
        <is>
          <t>Card</t>
        </is>
      </c>
      <c r="G539" s="2" t="inlineStr">
        <is>
          <t>failed</t>
        </is>
      </c>
      <c r="H539" s="2" t="n">
        <v>83</v>
      </c>
      <c r="I539" s="2">
        <f>IFERROR(VLOOKUP(C539,Merchants!$A$2:$D$41,2,FALSE),"Merchant not found")</f>
        <v/>
      </c>
      <c r="J539" s="2">
        <f>IFERROR(VLOOKUP(C539,Merchants!$A$2:$D$41,3,FALSE),"Merchant not found")</f>
        <v/>
      </c>
      <c r="K539" s="2">
        <f>IFERROR(VLOOKUP(C539,Merchants!$A$2:$D$41,4,FALSE),"Merchant not found")</f>
        <v/>
      </c>
      <c r="L539" s="2">
        <f>IFERROR(HLOOKUP(F539,Fee_Tiers!$B$4:$E$5,2,FALSE),0)</f>
        <v/>
      </c>
      <c r="M539" s="2">
        <f>IF(AND(E539&gt;500,K539&lt;&gt;"East"),"High-Value Merchant Day",IF(AND(E539&gt;500,K539="East"),"High-Value East (Excluded)",IF(E539&lt;=500,"Standard","Unknown")))</f>
        <v/>
      </c>
    </row>
    <row r="540">
      <c r="A540" s="2" t="inlineStr">
        <is>
          <t>TXN300023</t>
        </is>
      </c>
      <c r="B540" s="2" t="n">
        <v>200</v>
      </c>
      <c r="C540" s="2" t="n">
        <v>21</v>
      </c>
      <c r="D540" s="2" t="inlineStr">
        <is>
          <t>2026-01-01 22:03:00</t>
        </is>
      </c>
      <c r="E540" s="2" t="n">
        <v>299</v>
      </c>
      <c r="F540" s="2" t="inlineStr">
        <is>
          <t>Card</t>
        </is>
      </c>
      <c r="G540" s="2" t="inlineStr">
        <is>
          <t>captured</t>
        </is>
      </c>
      <c r="H540" s="2" t="n">
        <v>89</v>
      </c>
      <c r="I540" s="2">
        <f>IFERROR(VLOOKUP(C540,Merchants!$A$2:$D$41,2,FALSE),"Merchant not found")</f>
        <v/>
      </c>
      <c r="J540" s="2">
        <f>IFERROR(VLOOKUP(C540,Merchants!$A$2:$D$41,3,FALSE),"Merchant not found")</f>
        <v/>
      </c>
      <c r="K540" s="2">
        <f>IFERROR(VLOOKUP(C540,Merchants!$A$2:$D$41,4,FALSE),"Merchant not found")</f>
        <v/>
      </c>
      <c r="L540" s="2">
        <f>IFERROR(HLOOKUP(F540,Fee_Tiers!$B$4:$E$5,2,FALSE),0)</f>
        <v/>
      </c>
      <c r="M540" s="2">
        <f>IF(AND(E540&gt;500,K540&lt;&gt;"East"),"High-Value Merchant Day",IF(AND(E540&gt;500,K540="East"),"High-Value East (Excluded)",IF(E540&lt;=500,"Standard","Unknown")))</f>
        <v/>
      </c>
    </row>
    <row r="541">
      <c r="A541" s="2" t="inlineStr">
        <is>
          <t>TXN300024</t>
        </is>
      </c>
      <c r="B541" s="2" t="n">
        <v>59</v>
      </c>
      <c r="C541" s="2" t="n">
        <v>32</v>
      </c>
      <c r="D541" s="2" t="inlineStr">
        <is>
          <t>2026-01-09 21:00:00</t>
        </is>
      </c>
      <c r="E541" s="2" t="n">
        <v>499</v>
      </c>
      <c r="F541" s="2" t="inlineStr">
        <is>
          <t>Card</t>
        </is>
      </c>
      <c r="G541" s="2" t="inlineStr">
        <is>
          <t>failed</t>
        </is>
      </c>
      <c r="H541" s="2" t="n">
        <v>80</v>
      </c>
      <c r="I541" s="2">
        <f>IFERROR(VLOOKUP(C541,Merchants!$A$2:$D$41,2,FALSE),"Merchant not found")</f>
        <v/>
      </c>
      <c r="J541" s="2">
        <f>IFERROR(VLOOKUP(C541,Merchants!$A$2:$D$41,3,FALSE),"Merchant not found")</f>
        <v/>
      </c>
      <c r="K541" s="2">
        <f>IFERROR(VLOOKUP(C541,Merchants!$A$2:$D$41,4,FALSE),"Merchant not found")</f>
        <v/>
      </c>
      <c r="L541" s="2">
        <f>IFERROR(HLOOKUP(F541,Fee_Tiers!$B$4:$E$5,2,FALSE),0)</f>
        <v/>
      </c>
      <c r="M541" s="2">
        <f>IF(AND(E541&gt;500,K541&lt;&gt;"East"),"High-Value Merchant Day",IF(AND(E541&gt;500,K541="East"),"High-Value East (Excluded)",IF(E541&lt;=500,"Standard","Unknown")))</f>
        <v/>
      </c>
    </row>
    <row r="542">
      <c r="A542" s="2" t="inlineStr">
        <is>
          <t>TXN300025</t>
        </is>
      </c>
      <c r="B542" s="2" t="n">
        <v>59</v>
      </c>
      <c r="C542" s="2" t="n">
        <v>39</v>
      </c>
      <c r="D542" s="2" t="inlineStr">
        <is>
          <t>2026-01-09 21:01:00</t>
        </is>
      </c>
      <c r="E542" s="2" t="n">
        <v>399</v>
      </c>
      <c r="F542" s="2" t="inlineStr">
        <is>
          <t>Card</t>
        </is>
      </c>
      <c r="G542" s="2" t="inlineStr">
        <is>
          <t>failed</t>
        </is>
      </c>
      <c r="H542" s="2" t="n">
        <v>85</v>
      </c>
      <c r="I542" s="2">
        <f>IFERROR(VLOOKUP(C542,Merchants!$A$2:$D$41,2,FALSE),"Merchant not found")</f>
        <v/>
      </c>
      <c r="J542" s="2">
        <f>IFERROR(VLOOKUP(C542,Merchants!$A$2:$D$41,3,FALSE),"Merchant not found")</f>
        <v/>
      </c>
      <c r="K542" s="2">
        <f>IFERROR(VLOOKUP(C542,Merchants!$A$2:$D$41,4,FALSE),"Merchant not found")</f>
        <v/>
      </c>
      <c r="L542" s="2">
        <f>IFERROR(HLOOKUP(F542,Fee_Tiers!$B$4:$E$5,2,FALSE),0)</f>
        <v/>
      </c>
      <c r="M542" s="2">
        <f>IF(AND(E542&gt;500,K542&lt;&gt;"East"),"High-Value Merchant Day",IF(AND(E542&gt;500,K542="East"),"High-Value East (Excluded)",IF(E542&lt;=500,"Standard","Unknown")))</f>
        <v/>
      </c>
    </row>
    <row r="543">
      <c r="A543" s="2" t="inlineStr">
        <is>
          <t>TXN300026</t>
        </is>
      </c>
      <c r="B543" s="2" t="n">
        <v>59</v>
      </c>
      <c r="C543" s="2" t="n">
        <v>38</v>
      </c>
      <c r="D543" s="2" t="inlineStr">
        <is>
          <t>2026-01-09 21:02:00</t>
        </is>
      </c>
      <c r="E543" s="2" t="n">
        <v>299</v>
      </c>
      <c r="F543" s="2" t="inlineStr">
        <is>
          <t>Card</t>
        </is>
      </c>
      <c r="G543" s="2" t="inlineStr">
        <is>
          <t>failed</t>
        </is>
      </c>
      <c r="H543" s="2" t="n">
        <v>82</v>
      </c>
      <c r="I543" s="2">
        <f>IFERROR(VLOOKUP(C543,Merchants!$A$2:$D$41,2,FALSE),"Merchant not found")</f>
        <v/>
      </c>
      <c r="J543" s="2">
        <f>IFERROR(VLOOKUP(C543,Merchants!$A$2:$D$41,3,FALSE),"Merchant not found")</f>
        <v/>
      </c>
      <c r="K543" s="2">
        <f>IFERROR(VLOOKUP(C543,Merchants!$A$2:$D$41,4,FALSE),"Merchant not found")</f>
        <v/>
      </c>
      <c r="L543" s="2">
        <f>IFERROR(HLOOKUP(F543,Fee_Tiers!$B$4:$E$5,2,FALSE),0)</f>
        <v/>
      </c>
      <c r="M543" s="2">
        <f>IF(AND(E543&gt;500,K543&lt;&gt;"East"),"High-Value Merchant Day",IF(AND(E543&gt;500,K543="East"),"High-Value East (Excluded)",IF(E543&lt;=500,"Standard","Unknown")))</f>
        <v/>
      </c>
    </row>
    <row r="544">
      <c r="A544" s="2" t="inlineStr">
        <is>
          <t>TXN300027</t>
        </is>
      </c>
      <c r="B544" s="2" t="n">
        <v>59</v>
      </c>
      <c r="C544" s="2" t="n">
        <v>23</v>
      </c>
      <c r="D544" s="2" t="inlineStr">
        <is>
          <t>2026-01-09 21:03:00</t>
        </is>
      </c>
      <c r="E544" s="2" t="n">
        <v>399</v>
      </c>
      <c r="F544" s="2" t="inlineStr">
        <is>
          <t>Card</t>
        </is>
      </c>
      <c r="G544" s="2" t="inlineStr">
        <is>
          <t>captured</t>
        </is>
      </c>
      <c r="H544" s="2" t="n">
        <v>71</v>
      </c>
      <c r="I544" s="2">
        <f>IFERROR(VLOOKUP(C544,Merchants!$A$2:$D$41,2,FALSE),"Merchant not found")</f>
        <v/>
      </c>
      <c r="J544" s="2">
        <f>IFERROR(VLOOKUP(C544,Merchants!$A$2:$D$41,3,FALSE),"Merchant not found")</f>
        <v/>
      </c>
      <c r="K544" s="2">
        <f>IFERROR(VLOOKUP(C544,Merchants!$A$2:$D$41,4,FALSE),"Merchant not found")</f>
        <v/>
      </c>
      <c r="L544" s="2">
        <f>IFERROR(HLOOKUP(F544,Fee_Tiers!$B$4:$E$5,2,FALSE),0)</f>
        <v/>
      </c>
      <c r="M544" s="2">
        <f>IF(AND(E544&gt;500,K544&lt;&gt;"East"),"High-Value Merchant Day",IF(AND(E544&gt;500,K544="East"),"High-Value East (Excluded)",IF(E544&lt;=500,"Standard","Unknown")))</f>
        <v/>
      </c>
    </row>
    <row r="545">
      <c r="A545" s="2" t="inlineStr">
        <is>
          <t>TXN300028</t>
        </is>
      </c>
      <c r="B545" s="2" t="n">
        <v>345</v>
      </c>
      <c r="C545" s="2" t="n">
        <v>40</v>
      </c>
      <c r="D545" s="2" t="inlineStr">
        <is>
          <t>2026-01-23 09:00:00</t>
        </is>
      </c>
      <c r="E545" s="2" t="n">
        <v>499</v>
      </c>
      <c r="F545" s="2" t="inlineStr">
        <is>
          <t>Card</t>
        </is>
      </c>
      <c r="G545" s="2" t="inlineStr">
        <is>
          <t>failed</t>
        </is>
      </c>
      <c r="H545" s="2" t="n">
        <v>65</v>
      </c>
      <c r="I545" s="2">
        <f>IFERROR(VLOOKUP(C545,Merchants!$A$2:$D$41,2,FALSE),"Merchant not found")</f>
        <v/>
      </c>
      <c r="J545" s="2">
        <f>IFERROR(VLOOKUP(C545,Merchants!$A$2:$D$41,3,FALSE),"Merchant not found")</f>
        <v/>
      </c>
      <c r="K545" s="2">
        <f>IFERROR(VLOOKUP(C545,Merchants!$A$2:$D$41,4,FALSE),"Merchant not found")</f>
        <v/>
      </c>
      <c r="L545" s="2">
        <f>IFERROR(HLOOKUP(F545,Fee_Tiers!$B$4:$E$5,2,FALSE),0)</f>
        <v/>
      </c>
      <c r="M545" s="2">
        <f>IF(AND(E545&gt;500,K545&lt;&gt;"East"),"High-Value Merchant Day",IF(AND(E545&gt;500,K545="East"),"High-Value East (Excluded)",IF(E545&lt;=500,"Standard","Unknown")))</f>
        <v/>
      </c>
    </row>
    <row r="546">
      <c r="A546" s="2" t="inlineStr">
        <is>
          <t>TXN300029</t>
        </is>
      </c>
      <c r="B546" s="2" t="n">
        <v>345</v>
      </c>
      <c r="C546" s="2" t="n">
        <v>9</v>
      </c>
      <c r="D546" s="2" t="inlineStr">
        <is>
          <t>2026-01-23 09:01:00</t>
        </is>
      </c>
      <c r="E546" s="2" t="n">
        <v>399</v>
      </c>
      <c r="F546" s="2" t="inlineStr">
        <is>
          <t>Card</t>
        </is>
      </c>
      <c r="G546" s="2" t="inlineStr">
        <is>
          <t>failed</t>
        </is>
      </c>
      <c r="H546" s="2" t="n">
        <v>67</v>
      </c>
      <c r="I546" s="2">
        <f>IFERROR(VLOOKUP(C546,Merchants!$A$2:$D$41,2,FALSE),"Merchant not found")</f>
        <v/>
      </c>
      <c r="J546" s="2">
        <f>IFERROR(VLOOKUP(C546,Merchants!$A$2:$D$41,3,FALSE),"Merchant not found")</f>
        <v/>
      </c>
      <c r="K546" s="2">
        <f>IFERROR(VLOOKUP(C546,Merchants!$A$2:$D$41,4,FALSE),"Merchant not found")</f>
        <v/>
      </c>
      <c r="L546" s="2">
        <f>IFERROR(HLOOKUP(F546,Fee_Tiers!$B$4:$E$5,2,FALSE),0)</f>
        <v/>
      </c>
      <c r="M546" s="2">
        <f>IF(AND(E546&gt;500,K546&lt;&gt;"East"),"High-Value Merchant Day",IF(AND(E546&gt;500,K546="East"),"High-Value East (Excluded)",IF(E546&lt;=500,"Standard","Unknown")))</f>
        <v/>
      </c>
    </row>
    <row r="547">
      <c r="A547" s="2" t="inlineStr">
        <is>
          <t>TXN300030</t>
        </is>
      </c>
      <c r="B547" s="2" t="n">
        <v>345</v>
      </c>
      <c r="C547" s="2" t="n">
        <v>16</v>
      </c>
      <c r="D547" s="2" t="inlineStr">
        <is>
          <t>2026-01-23 09:02:00</t>
        </is>
      </c>
      <c r="E547" s="2" t="n">
        <v>399</v>
      </c>
      <c r="F547" s="2" t="inlineStr">
        <is>
          <t>Card</t>
        </is>
      </c>
      <c r="G547" s="2" t="inlineStr">
        <is>
          <t>failed</t>
        </is>
      </c>
      <c r="H547" s="2" t="n">
        <v>67</v>
      </c>
      <c r="I547" s="2">
        <f>IFERROR(VLOOKUP(C547,Merchants!$A$2:$D$41,2,FALSE),"Merchant not found")</f>
        <v/>
      </c>
      <c r="J547" s="2">
        <f>IFERROR(VLOOKUP(C547,Merchants!$A$2:$D$41,3,FALSE),"Merchant not found")</f>
        <v/>
      </c>
      <c r="K547" s="2">
        <f>IFERROR(VLOOKUP(C547,Merchants!$A$2:$D$41,4,FALSE),"Merchant not found")</f>
        <v/>
      </c>
      <c r="L547" s="2">
        <f>IFERROR(HLOOKUP(F547,Fee_Tiers!$B$4:$E$5,2,FALSE),0)</f>
        <v/>
      </c>
      <c r="M547" s="2">
        <f>IF(AND(E547&gt;500,K547&lt;&gt;"East"),"High-Value Merchant Day",IF(AND(E547&gt;500,K547="East"),"High-Value East (Excluded)",IF(E547&lt;=500,"Standard","Unknown")))</f>
        <v/>
      </c>
    </row>
    <row r="548">
      <c r="A548" s="2" t="inlineStr">
        <is>
          <t>TXN300031</t>
        </is>
      </c>
      <c r="B548" s="2" t="n">
        <v>345</v>
      </c>
      <c r="C548" s="2" t="n">
        <v>12</v>
      </c>
      <c r="D548" s="2" t="inlineStr">
        <is>
          <t>2026-01-23 09:03:00</t>
        </is>
      </c>
      <c r="E548" s="2" t="n">
        <v>399</v>
      </c>
      <c r="F548" s="2" t="inlineStr">
        <is>
          <t>Card</t>
        </is>
      </c>
      <c r="G548" s="2" t="inlineStr">
        <is>
          <t>captured</t>
        </is>
      </c>
      <c r="H548" s="2" t="n">
        <v>69</v>
      </c>
      <c r="I548" s="2">
        <f>IFERROR(VLOOKUP(C548,Merchants!$A$2:$D$41,2,FALSE),"Merchant not found")</f>
        <v/>
      </c>
      <c r="J548" s="2">
        <f>IFERROR(VLOOKUP(C548,Merchants!$A$2:$D$41,3,FALSE),"Merchant not found")</f>
        <v/>
      </c>
      <c r="K548" s="2">
        <f>IFERROR(VLOOKUP(C548,Merchants!$A$2:$D$41,4,FALSE),"Merchant not found")</f>
        <v/>
      </c>
      <c r="L548" s="2">
        <f>IFERROR(HLOOKUP(F548,Fee_Tiers!$B$4:$E$5,2,FALSE),0)</f>
        <v/>
      </c>
      <c r="M548" s="2">
        <f>IF(AND(E548&gt;500,K548&lt;&gt;"East"),"High-Value Merchant Day",IF(AND(E548&gt;500,K548="East"),"High-Value East (Excluded)",IF(E548&lt;=500,"Standard","Unknown")))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s="8" t="inlineStr">
        <is>
          <t>Nested IF/AND Classification Rule Documentation</t>
        </is>
      </c>
    </row>
    <row r="3">
      <c r="A3" s="5" t="inlineStr">
        <is>
          <t>Rule:</t>
        </is>
      </c>
      <c r="B3" t="inlineStr">
        <is>
          <t>IF(AND(amount_inr &gt; 500, region &lt;&gt; "East"), "High-Value Merchant Day", ...)</t>
        </is>
      </c>
    </row>
    <row r="4">
      <c r="A4" s="5" t="inlineStr">
        <is>
          <t>Cutoff 1:</t>
        </is>
      </c>
      <c r="B4" t="inlineStr">
        <is>
          <t>Transaction amount &gt; INR 500 (per-row proxy for merchant daily total &gt; INR 5,000)</t>
        </is>
      </c>
    </row>
    <row r="5">
      <c r="A5" s="5" t="inlineStr">
        <is>
          <t>Cutoff 2:</t>
        </is>
      </c>
      <c r="B5" t="inlineStr">
        <is>
          <t>Region must NOT be "East"</t>
        </is>
      </c>
    </row>
    <row r="6">
      <c r="A6" s="5" t="inlineStr">
        <is>
          <t>Label 1:</t>
        </is>
      </c>
      <c r="B6" t="inlineStr">
        <is>
          <t>"High-Value Merchant Day" — amount &gt; 500 AND region is not East</t>
        </is>
      </c>
    </row>
    <row r="7">
      <c r="A7" s="5" t="inlineStr">
        <is>
          <t>Label 2:</t>
        </is>
      </c>
      <c r="B7" t="inlineStr">
        <is>
          <t>"High-Value East (Excluded)" — amount &gt; 500 BUT region is East</t>
        </is>
      </c>
    </row>
    <row r="8">
      <c r="A8" s="5" t="inlineStr">
        <is>
          <t>Label 3:</t>
        </is>
      </c>
      <c r="B8" t="inlineStr">
        <is>
          <t>"Standard" — amount &lt;= 500</t>
        </is>
      </c>
    </row>
    <row r="9">
      <c r="A9" s="5" t="inlineStr">
        <is>
          <t>Rationale:</t>
        </is>
      </c>
      <c r="B9" t="inlineStr">
        <is>
          <t>The INR 5,000 daily-total threshold is checked in the Pivot_Table sheet. For per-row classification, we use INR 500 per-transaction as a proxy to flag high-value activity at the row level, combined with the East-region exclusion.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Pivot Table: Total Amount &amp; Count by Merchant × Status</t>
        </is>
      </c>
    </row>
    <row r="2">
      <c r="A2" s="4" t="inlineStr">
        <is>
          <t>Plus count-vs-count-unique comparison for top merchants</t>
        </is>
      </c>
    </row>
    <row r="4">
      <c r="A4" s="1" t="inlineStr">
        <is>
          <t>merchant_id</t>
        </is>
      </c>
      <c r="B4" s="1" t="inlineStr">
        <is>
          <t>status</t>
        </is>
      </c>
      <c r="C4" s="1" t="inlineStr">
        <is>
          <t>total_amount_inr</t>
        </is>
      </c>
      <c r="D4" s="1" t="inlineStr">
        <is>
          <t>txn_count</t>
        </is>
      </c>
    </row>
    <row r="5">
      <c r="A5" s="2" t="n">
        <v>1</v>
      </c>
      <c r="B5" s="2" t="inlineStr">
        <is>
          <t>captured</t>
        </is>
      </c>
      <c r="C5" s="2" t="n">
        <v>10142</v>
      </c>
      <c r="D5" s="2" t="n">
        <v>8</v>
      </c>
    </row>
    <row r="6">
      <c r="A6" s="2" t="n">
        <v>1</v>
      </c>
      <c r="B6" s="2" t="inlineStr">
        <is>
          <t>failed</t>
        </is>
      </c>
      <c r="C6" s="2" t="n">
        <v>299</v>
      </c>
      <c r="D6" s="2" t="n">
        <v>1</v>
      </c>
    </row>
    <row r="7">
      <c r="A7" s="2" t="n">
        <v>2</v>
      </c>
      <c r="B7" s="2" t="inlineStr">
        <is>
          <t>captured</t>
        </is>
      </c>
      <c r="C7" s="2" t="n">
        <v>3640</v>
      </c>
      <c r="D7" s="2" t="n">
        <v>10</v>
      </c>
    </row>
    <row r="8">
      <c r="A8" s="2" t="n">
        <v>3</v>
      </c>
      <c r="B8" s="2" t="inlineStr">
        <is>
          <t>captured</t>
        </is>
      </c>
      <c r="C8" s="2" t="n">
        <v>8084</v>
      </c>
      <c r="D8" s="2" t="n">
        <v>16</v>
      </c>
    </row>
    <row r="9">
      <c r="A9" s="2" t="n">
        <v>3</v>
      </c>
      <c r="B9" s="2" t="inlineStr">
        <is>
          <t>chargeback</t>
        </is>
      </c>
      <c r="C9" s="2" t="n">
        <v>149</v>
      </c>
      <c r="D9" s="2" t="n">
        <v>1</v>
      </c>
    </row>
    <row r="10">
      <c r="A10" s="2" t="n">
        <v>4</v>
      </c>
      <c r="B10" s="2" t="inlineStr">
        <is>
          <t>captured</t>
        </is>
      </c>
      <c r="C10" s="2" t="n">
        <v>6941</v>
      </c>
      <c r="D10" s="2" t="n">
        <v>9</v>
      </c>
    </row>
    <row r="11">
      <c r="A11" s="2" t="n">
        <v>5</v>
      </c>
      <c r="B11" s="2" t="inlineStr">
        <is>
          <t>captured</t>
        </is>
      </c>
      <c r="C11" s="2" t="n">
        <v>5340</v>
      </c>
      <c r="D11" s="2" t="n">
        <v>10</v>
      </c>
    </row>
    <row r="12">
      <c r="A12" s="2" t="n">
        <v>5</v>
      </c>
      <c r="B12" s="2" t="inlineStr">
        <is>
          <t>failed</t>
        </is>
      </c>
      <c r="C12" s="2" t="n">
        <v>499</v>
      </c>
      <c r="D12" s="2" t="n">
        <v>1</v>
      </c>
    </row>
    <row r="13">
      <c r="A13" s="2" t="n">
        <v>6</v>
      </c>
      <c r="B13" s="2" t="inlineStr">
        <is>
          <t>captured</t>
        </is>
      </c>
      <c r="C13" s="2" t="n">
        <v>6637</v>
      </c>
      <c r="D13" s="2" t="n">
        <v>13</v>
      </c>
    </row>
    <row r="14">
      <c r="A14" s="2" t="n">
        <v>6</v>
      </c>
      <c r="B14" s="2" t="inlineStr">
        <is>
          <t>chargeback</t>
        </is>
      </c>
      <c r="C14" s="2" t="n">
        <v>799</v>
      </c>
      <c r="D14" s="2" t="n">
        <v>1</v>
      </c>
    </row>
    <row r="15">
      <c r="A15" s="2" t="n">
        <v>7</v>
      </c>
      <c r="B15" s="2" t="inlineStr">
        <is>
          <t>captured</t>
        </is>
      </c>
      <c r="C15" s="2" t="n">
        <v>11638</v>
      </c>
      <c r="D15" s="2" t="n">
        <v>12</v>
      </c>
    </row>
    <row r="16">
      <c r="A16" s="2" t="n">
        <v>7</v>
      </c>
      <c r="B16" s="2" t="inlineStr">
        <is>
          <t>chargeback</t>
        </is>
      </c>
      <c r="C16" s="2" t="n">
        <v>1999</v>
      </c>
      <c r="D16" s="2" t="n">
        <v>1</v>
      </c>
    </row>
    <row r="17">
      <c r="A17" s="2" t="n">
        <v>7</v>
      </c>
      <c r="B17" s="2" t="inlineStr">
        <is>
          <t>failed</t>
        </is>
      </c>
      <c r="C17" s="2" t="n">
        <v>2297</v>
      </c>
      <c r="D17" s="2" t="n">
        <v>3</v>
      </c>
    </row>
    <row r="18">
      <c r="A18" s="2" t="n">
        <v>8</v>
      </c>
      <c r="B18" s="2" t="inlineStr">
        <is>
          <t>captured</t>
        </is>
      </c>
      <c r="C18" s="2" t="n">
        <v>7086</v>
      </c>
      <c r="D18" s="2" t="n">
        <v>14</v>
      </c>
    </row>
    <row r="19">
      <c r="A19" s="2" t="n">
        <v>8</v>
      </c>
      <c r="B19" s="2" t="inlineStr">
        <is>
          <t>chargeback</t>
        </is>
      </c>
      <c r="C19" s="2" t="n">
        <v>49</v>
      </c>
      <c r="D19" s="2" t="n">
        <v>1</v>
      </c>
    </row>
    <row r="20">
      <c r="A20" s="2" t="n">
        <v>8</v>
      </c>
      <c r="B20" s="2" t="inlineStr">
        <is>
          <t>failed</t>
        </is>
      </c>
      <c r="C20" s="2" t="n">
        <v>299</v>
      </c>
      <c r="D20" s="2" t="n">
        <v>1</v>
      </c>
    </row>
    <row r="21">
      <c r="A21" s="2" t="n">
        <v>9</v>
      </c>
      <c r="B21" s="2" t="inlineStr">
        <is>
          <t>captured</t>
        </is>
      </c>
      <c r="C21" s="2" t="n">
        <v>4485</v>
      </c>
      <c r="D21" s="2" t="n">
        <v>15</v>
      </c>
    </row>
    <row r="22">
      <c r="A22" s="2" t="n">
        <v>9</v>
      </c>
      <c r="B22" s="2" t="inlineStr">
        <is>
          <t>failed</t>
        </is>
      </c>
      <c r="C22" s="2" t="n">
        <v>497</v>
      </c>
      <c r="D22" s="2" t="n">
        <v>3</v>
      </c>
    </row>
    <row r="23">
      <c r="A23" s="2" t="n">
        <v>10</v>
      </c>
      <c r="B23" s="2" t="inlineStr">
        <is>
          <t>captured</t>
        </is>
      </c>
      <c r="C23" s="2" t="n">
        <v>7639</v>
      </c>
      <c r="D23" s="2" t="n">
        <v>11</v>
      </c>
    </row>
    <row r="24">
      <c r="A24" s="2" t="n">
        <v>10</v>
      </c>
      <c r="B24" s="2" t="inlineStr">
        <is>
          <t>chargeback</t>
        </is>
      </c>
      <c r="C24" s="2" t="n">
        <v>5048</v>
      </c>
      <c r="D24" s="2" t="n">
        <v>2</v>
      </c>
    </row>
    <row r="25">
      <c r="A25" s="2" t="n">
        <v>10</v>
      </c>
      <c r="B25" s="2" t="inlineStr">
        <is>
          <t>failed</t>
        </is>
      </c>
      <c r="C25" s="2" t="n">
        <v>399</v>
      </c>
      <c r="D25" s="2" t="n">
        <v>1</v>
      </c>
    </row>
    <row r="26">
      <c r="A26" s="2" t="n">
        <v>11</v>
      </c>
      <c r="B26" s="2" t="inlineStr">
        <is>
          <t>captured</t>
        </is>
      </c>
      <c r="C26" s="2" t="n">
        <v>9292</v>
      </c>
      <c r="D26" s="2" t="n">
        <v>8</v>
      </c>
    </row>
    <row r="27">
      <c r="A27" s="2" t="n">
        <v>11</v>
      </c>
      <c r="B27" s="2" t="inlineStr">
        <is>
          <t>chargeback</t>
        </is>
      </c>
      <c r="C27" s="2" t="n">
        <v>149</v>
      </c>
      <c r="D27" s="2" t="n">
        <v>1</v>
      </c>
    </row>
    <row r="28">
      <c r="A28" s="2" t="n">
        <v>11</v>
      </c>
      <c r="B28" s="2" t="inlineStr">
        <is>
          <t>failed</t>
        </is>
      </c>
      <c r="C28" s="2" t="n">
        <v>1499</v>
      </c>
      <c r="D28" s="2" t="n">
        <v>1</v>
      </c>
    </row>
    <row r="29">
      <c r="A29" s="2" t="n">
        <v>12</v>
      </c>
      <c r="B29" s="2" t="inlineStr">
        <is>
          <t>captured</t>
        </is>
      </c>
      <c r="C29" s="2" t="n">
        <v>9389</v>
      </c>
      <c r="D29" s="2" t="n">
        <v>11</v>
      </c>
    </row>
    <row r="30">
      <c r="A30" s="2" t="n">
        <v>12</v>
      </c>
      <c r="B30" s="2" t="inlineStr">
        <is>
          <t>failed</t>
        </is>
      </c>
      <c r="C30" s="2" t="n">
        <v>998</v>
      </c>
      <c r="D30" s="2" t="n">
        <v>2</v>
      </c>
    </row>
    <row r="31">
      <c r="A31" s="2" t="n">
        <v>13</v>
      </c>
      <c r="B31" s="2" t="inlineStr">
        <is>
          <t>captured</t>
        </is>
      </c>
      <c r="C31" s="2" t="n">
        <v>10390</v>
      </c>
      <c r="D31" s="2" t="n">
        <v>10</v>
      </c>
    </row>
    <row r="32">
      <c r="A32" s="2" t="n">
        <v>13</v>
      </c>
      <c r="B32" s="2" t="inlineStr">
        <is>
          <t>chargeback</t>
        </is>
      </c>
      <c r="C32" s="2" t="n">
        <v>4999</v>
      </c>
      <c r="D32" s="2" t="n">
        <v>1</v>
      </c>
    </row>
    <row r="33">
      <c r="A33" s="2" t="n">
        <v>13</v>
      </c>
      <c r="B33" s="2" t="inlineStr">
        <is>
          <t>failed</t>
        </is>
      </c>
      <c r="C33" s="2" t="n">
        <v>2999</v>
      </c>
      <c r="D33" s="2" t="n">
        <v>1</v>
      </c>
    </row>
    <row r="34">
      <c r="A34" s="2" t="n">
        <v>14</v>
      </c>
      <c r="B34" s="2" t="inlineStr">
        <is>
          <t>captured</t>
        </is>
      </c>
      <c r="C34" s="2" t="n">
        <v>6189</v>
      </c>
      <c r="D34" s="2" t="n">
        <v>11</v>
      </c>
    </row>
    <row r="35">
      <c r="A35" s="2" t="n">
        <v>14</v>
      </c>
      <c r="B35" s="2" t="inlineStr">
        <is>
          <t>failed</t>
        </is>
      </c>
      <c r="C35" s="2" t="n">
        <v>299</v>
      </c>
      <c r="D35" s="2" t="n">
        <v>1</v>
      </c>
    </row>
    <row r="36">
      <c r="A36" s="2" t="n">
        <v>15</v>
      </c>
      <c r="B36" s="2" t="inlineStr">
        <is>
          <t>captured</t>
        </is>
      </c>
      <c r="C36" s="2" t="n">
        <v>7439</v>
      </c>
      <c r="D36" s="2" t="n">
        <v>11</v>
      </c>
    </row>
    <row r="37">
      <c r="A37" s="2" t="n">
        <v>15</v>
      </c>
      <c r="B37" s="2" t="inlineStr">
        <is>
          <t>failed</t>
        </is>
      </c>
      <c r="C37" s="2" t="n">
        <v>399</v>
      </c>
      <c r="D37" s="2" t="n">
        <v>1</v>
      </c>
    </row>
    <row r="38">
      <c r="A38" s="2" t="n">
        <v>16</v>
      </c>
      <c r="B38" s="2" t="inlineStr">
        <is>
          <t>captured</t>
        </is>
      </c>
      <c r="C38" s="2" t="n">
        <v>10183</v>
      </c>
      <c r="D38" s="2" t="n">
        <v>17</v>
      </c>
    </row>
    <row r="39">
      <c r="A39" s="2" t="n">
        <v>16</v>
      </c>
      <c r="B39" s="2" t="inlineStr">
        <is>
          <t>failed</t>
        </is>
      </c>
      <c r="C39" s="2" t="n">
        <v>947</v>
      </c>
      <c r="D39" s="2" t="n">
        <v>3</v>
      </c>
    </row>
    <row r="40">
      <c r="A40" s="2" t="n">
        <v>17</v>
      </c>
      <c r="B40" s="2" t="inlineStr">
        <is>
          <t>captured</t>
        </is>
      </c>
      <c r="C40" s="2" t="n">
        <v>12738</v>
      </c>
      <c r="D40" s="2" t="n">
        <v>12</v>
      </c>
    </row>
    <row r="41">
      <c r="A41" s="2" t="n">
        <v>17</v>
      </c>
      <c r="B41" s="2" t="inlineStr">
        <is>
          <t>failed</t>
        </is>
      </c>
      <c r="C41" s="2" t="n">
        <v>299</v>
      </c>
      <c r="D41" s="2" t="n">
        <v>1</v>
      </c>
    </row>
    <row r="42">
      <c r="A42" s="2" t="n">
        <v>18</v>
      </c>
      <c r="B42" s="2" t="inlineStr">
        <is>
          <t>captured</t>
        </is>
      </c>
      <c r="C42" s="2" t="n">
        <v>7089</v>
      </c>
      <c r="D42" s="2" t="n">
        <v>11</v>
      </c>
    </row>
    <row r="43">
      <c r="A43" s="2" t="n">
        <v>19</v>
      </c>
      <c r="B43" s="2" t="inlineStr">
        <is>
          <t>captured</t>
        </is>
      </c>
      <c r="C43" s="2" t="n">
        <v>7239</v>
      </c>
      <c r="D43" s="2" t="n">
        <v>11</v>
      </c>
    </row>
    <row r="44">
      <c r="A44" s="2" t="n">
        <v>19</v>
      </c>
      <c r="B44" s="2" t="inlineStr">
        <is>
          <t>chargeback</t>
        </is>
      </c>
      <c r="C44" s="2" t="n">
        <v>4999</v>
      </c>
      <c r="D44" s="2" t="n">
        <v>1</v>
      </c>
    </row>
    <row r="45">
      <c r="A45" s="2" t="n">
        <v>19</v>
      </c>
      <c r="B45" s="2" t="inlineStr">
        <is>
          <t>failed</t>
        </is>
      </c>
      <c r="C45" s="2" t="n">
        <v>598</v>
      </c>
      <c r="D45" s="2" t="n">
        <v>2</v>
      </c>
    </row>
    <row r="46">
      <c r="A46" s="2" t="n">
        <v>20</v>
      </c>
      <c r="B46" s="2" t="inlineStr">
        <is>
          <t>captured</t>
        </is>
      </c>
      <c r="C46" s="2" t="n">
        <v>4192</v>
      </c>
      <c r="D46" s="2" t="n">
        <v>8</v>
      </c>
    </row>
    <row r="47">
      <c r="A47" s="2" t="n">
        <v>20</v>
      </c>
      <c r="B47" s="2" t="inlineStr">
        <is>
          <t>failed</t>
        </is>
      </c>
      <c r="C47" s="2" t="n">
        <v>49</v>
      </c>
      <c r="D47" s="2" t="n">
        <v>1</v>
      </c>
    </row>
    <row r="48">
      <c r="A48" s="2" t="n">
        <v>21</v>
      </c>
      <c r="B48" s="2" t="inlineStr">
        <is>
          <t>captured</t>
        </is>
      </c>
      <c r="C48" s="2" t="n">
        <v>3887</v>
      </c>
      <c r="D48" s="2" t="n">
        <v>13</v>
      </c>
    </row>
    <row r="49">
      <c r="A49" s="2" t="n">
        <v>21</v>
      </c>
      <c r="B49" s="2" t="inlineStr">
        <is>
          <t>failed</t>
        </is>
      </c>
      <c r="C49" s="2" t="n">
        <v>4999</v>
      </c>
      <c r="D49" s="2" t="n">
        <v>1</v>
      </c>
    </row>
    <row r="50">
      <c r="A50" s="2" t="n">
        <v>22</v>
      </c>
      <c r="B50" s="2" t="inlineStr">
        <is>
          <t>captured</t>
        </is>
      </c>
      <c r="C50" s="2" t="n">
        <v>11336</v>
      </c>
      <c r="D50" s="2" t="n">
        <v>14</v>
      </c>
    </row>
    <row r="51">
      <c r="A51" s="2" t="n">
        <v>22</v>
      </c>
      <c r="B51" s="2" t="inlineStr">
        <is>
          <t>failed</t>
        </is>
      </c>
      <c r="C51" s="2" t="n">
        <v>1198</v>
      </c>
      <c r="D51" s="2" t="n">
        <v>2</v>
      </c>
    </row>
    <row r="52">
      <c r="A52" s="2" t="n">
        <v>23</v>
      </c>
      <c r="B52" s="2" t="inlineStr">
        <is>
          <t>captured</t>
        </is>
      </c>
      <c r="C52" s="2" t="n">
        <v>1041</v>
      </c>
      <c r="D52" s="2" t="n">
        <v>9</v>
      </c>
    </row>
    <row r="53">
      <c r="A53" s="2" t="n">
        <v>23</v>
      </c>
      <c r="B53" s="2" t="inlineStr">
        <is>
          <t>chargeback</t>
        </is>
      </c>
      <c r="C53" s="2" t="n">
        <v>1999</v>
      </c>
      <c r="D53" s="2" t="n">
        <v>1</v>
      </c>
    </row>
    <row r="54">
      <c r="A54" s="2" t="n">
        <v>24</v>
      </c>
      <c r="B54" s="2" t="inlineStr">
        <is>
          <t>captured</t>
        </is>
      </c>
      <c r="C54" s="2" t="n">
        <v>3438</v>
      </c>
      <c r="D54" s="2" t="n">
        <v>12</v>
      </c>
    </row>
    <row r="55">
      <c r="A55" s="2" t="n">
        <v>24</v>
      </c>
      <c r="B55" s="2" t="inlineStr">
        <is>
          <t>chargeback</t>
        </is>
      </c>
      <c r="C55" s="2" t="n">
        <v>149</v>
      </c>
      <c r="D55" s="2" t="n">
        <v>1</v>
      </c>
    </row>
    <row r="56">
      <c r="A56" s="2" t="n">
        <v>25</v>
      </c>
      <c r="B56" s="2" t="inlineStr">
        <is>
          <t>captured</t>
        </is>
      </c>
      <c r="C56" s="2" t="n">
        <v>12534</v>
      </c>
      <c r="D56" s="2" t="n">
        <v>16</v>
      </c>
    </row>
    <row r="57">
      <c r="A57" s="2" t="n">
        <v>25</v>
      </c>
      <c r="B57" s="2" t="inlineStr">
        <is>
          <t>chargeback</t>
        </is>
      </c>
      <c r="C57" s="2" t="n">
        <v>2999</v>
      </c>
      <c r="D57" s="2" t="n">
        <v>1</v>
      </c>
    </row>
    <row r="58">
      <c r="A58" s="2" t="n">
        <v>26</v>
      </c>
      <c r="B58" s="2" t="inlineStr">
        <is>
          <t>captured</t>
        </is>
      </c>
      <c r="C58" s="2" t="n">
        <v>2991</v>
      </c>
      <c r="D58" s="2" t="n">
        <v>9</v>
      </c>
    </row>
    <row r="59">
      <c r="A59" s="2" t="n">
        <v>26</v>
      </c>
      <c r="B59" s="2" t="inlineStr">
        <is>
          <t>failed</t>
        </is>
      </c>
      <c r="C59" s="2" t="n">
        <v>2197</v>
      </c>
      <c r="D59" s="2" t="n">
        <v>3</v>
      </c>
    </row>
    <row r="60">
      <c r="A60" s="2" t="n">
        <v>27</v>
      </c>
      <c r="B60" s="2" t="inlineStr">
        <is>
          <t>captured</t>
        </is>
      </c>
      <c r="C60" s="2" t="n">
        <v>8038</v>
      </c>
      <c r="D60" s="2" t="n">
        <v>12</v>
      </c>
    </row>
    <row r="61">
      <c r="A61" s="2" t="n">
        <v>27</v>
      </c>
      <c r="B61" s="2" t="inlineStr">
        <is>
          <t>chargeback</t>
        </is>
      </c>
      <c r="C61" s="2" t="n">
        <v>4047</v>
      </c>
      <c r="D61" s="2" t="n">
        <v>3</v>
      </c>
    </row>
    <row r="62">
      <c r="A62" s="2" t="n">
        <v>27</v>
      </c>
      <c r="B62" s="2" t="inlineStr">
        <is>
          <t>failed</t>
        </is>
      </c>
      <c r="C62" s="2" t="n">
        <v>1499</v>
      </c>
      <c r="D62" s="2" t="n">
        <v>1</v>
      </c>
    </row>
    <row r="63">
      <c r="A63" s="2" t="n">
        <v>28</v>
      </c>
      <c r="B63" s="2" t="inlineStr">
        <is>
          <t>captured</t>
        </is>
      </c>
      <c r="C63" s="2" t="n">
        <v>4493</v>
      </c>
      <c r="D63" s="2" t="n">
        <v>7</v>
      </c>
    </row>
    <row r="64">
      <c r="A64" s="2" t="n">
        <v>28</v>
      </c>
      <c r="B64" s="2" t="inlineStr">
        <is>
          <t>chargeback</t>
        </is>
      </c>
      <c r="C64" s="2" t="n">
        <v>1999</v>
      </c>
      <c r="D64" s="2" t="n">
        <v>1</v>
      </c>
    </row>
    <row r="65">
      <c r="A65" s="2" t="n">
        <v>28</v>
      </c>
      <c r="B65" s="2" t="inlineStr">
        <is>
          <t>failed</t>
        </is>
      </c>
      <c r="C65" s="2" t="n">
        <v>3048</v>
      </c>
      <c r="D65" s="2" t="n">
        <v>2</v>
      </c>
    </row>
    <row r="66">
      <c r="A66" s="2" t="n">
        <v>29</v>
      </c>
      <c r="B66" s="2" t="inlineStr">
        <is>
          <t>captured</t>
        </is>
      </c>
      <c r="C66" s="2" t="n">
        <v>5686</v>
      </c>
      <c r="D66" s="2" t="n">
        <v>14</v>
      </c>
    </row>
    <row r="67">
      <c r="A67" s="2" t="n">
        <v>29</v>
      </c>
      <c r="B67" s="2" t="inlineStr">
        <is>
          <t>chargeback</t>
        </is>
      </c>
      <c r="C67" s="2" t="n">
        <v>3897</v>
      </c>
      <c r="D67" s="2" t="n">
        <v>3</v>
      </c>
    </row>
    <row r="68">
      <c r="A68" s="2" t="n">
        <v>29</v>
      </c>
      <c r="B68" s="2" t="inlineStr">
        <is>
          <t>failed</t>
        </is>
      </c>
      <c r="C68" s="2" t="n">
        <v>3498</v>
      </c>
      <c r="D68" s="2" t="n">
        <v>2</v>
      </c>
    </row>
    <row r="69">
      <c r="A69" s="2" t="n">
        <v>30</v>
      </c>
      <c r="B69" s="2" t="inlineStr">
        <is>
          <t>captured</t>
        </is>
      </c>
      <c r="C69" s="2" t="n">
        <v>7384</v>
      </c>
      <c r="D69" s="2" t="n">
        <v>16</v>
      </c>
    </row>
    <row r="70">
      <c r="A70" s="2" t="n">
        <v>30</v>
      </c>
      <c r="B70" s="2" t="inlineStr">
        <is>
          <t>failed</t>
        </is>
      </c>
      <c r="C70" s="2" t="n">
        <v>499</v>
      </c>
      <c r="D70" s="2" t="n">
        <v>1</v>
      </c>
    </row>
    <row r="71">
      <c r="A71" s="2" t="n">
        <v>31</v>
      </c>
      <c r="B71" s="2" t="inlineStr">
        <is>
          <t>captured</t>
        </is>
      </c>
      <c r="C71" s="2" t="n">
        <v>2640</v>
      </c>
      <c r="D71" s="2" t="n">
        <v>10</v>
      </c>
    </row>
    <row r="72">
      <c r="A72" s="2" t="n">
        <v>31</v>
      </c>
      <c r="B72" s="2" t="inlineStr">
        <is>
          <t>chargeback</t>
        </is>
      </c>
      <c r="C72" s="2" t="n">
        <v>49</v>
      </c>
      <c r="D72" s="2" t="n">
        <v>1</v>
      </c>
    </row>
    <row r="73">
      <c r="A73" s="2" t="n">
        <v>31</v>
      </c>
      <c r="B73" s="2" t="inlineStr">
        <is>
          <t>failed</t>
        </is>
      </c>
      <c r="C73" s="2" t="n">
        <v>2146</v>
      </c>
      <c r="D73" s="2" t="n">
        <v>4</v>
      </c>
    </row>
    <row r="74">
      <c r="A74" s="2" t="n">
        <v>32</v>
      </c>
      <c r="B74" s="2" t="inlineStr">
        <is>
          <t>captured</t>
        </is>
      </c>
      <c r="C74" s="2" t="n">
        <v>2589</v>
      </c>
      <c r="D74" s="2" t="n">
        <v>11</v>
      </c>
    </row>
    <row r="75">
      <c r="A75" s="2" t="n">
        <v>32</v>
      </c>
      <c r="B75" s="2" t="inlineStr">
        <is>
          <t>chargeback</t>
        </is>
      </c>
      <c r="C75" s="2" t="n">
        <v>1999</v>
      </c>
      <c r="D75" s="2" t="n">
        <v>1</v>
      </c>
    </row>
    <row r="76">
      <c r="A76" s="2" t="n">
        <v>32</v>
      </c>
      <c r="B76" s="2" t="inlineStr">
        <is>
          <t>failed</t>
        </is>
      </c>
      <c r="C76" s="2" t="n">
        <v>3498</v>
      </c>
      <c r="D76" s="2" t="n">
        <v>2</v>
      </c>
    </row>
    <row r="77">
      <c r="A77" s="2" t="n">
        <v>33</v>
      </c>
      <c r="B77" s="2" t="inlineStr">
        <is>
          <t>captured</t>
        </is>
      </c>
      <c r="C77" s="2" t="n">
        <v>10190</v>
      </c>
      <c r="D77" s="2" t="n">
        <v>10</v>
      </c>
    </row>
    <row r="78">
      <c r="A78" s="2" t="n">
        <v>33</v>
      </c>
      <c r="B78" s="2" t="inlineStr">
        <is>
          <t>failed</t>
        </is>
      </c>
      <c r="C78" s="2" t="n">
        <v>149</v>
      </c>
      <c r="D78" s="2" t="n">
        <v>1</v>
      </c>
    </row>
    <row r="79">
      <c r="A79" s="2" t="n">
        <v>34</v>
      </c>
      <c r="B79" s="2" t="inlineStr">
        <is>
          <t>captured</t>
        </is>
      </c>
      <c r="C79" s="2" t="n">
        <v>9635</v>
      </c>
      <c r="D79" s="2" t="n">
        <v>15</v>
      </c>
    </row>
    <row r="80">
      <c r="A80" s="2" t="n">
        <v>34</v>
      </c>
      <c r="B80" s="2" t="inlineStr">
        <is>
          <t>failed</t>
        </is>
      </c>
      <c r="C80" s="2" t="n">
        <v>399</v>
      </c>
      <c r="D80" s="2" t="n">
        <v>1</v>
      </c>
    </row>
    <row r="81">
      <c r="A81" s="2" t="n">
        <v>35</v>
      </c>
      <c r="B81" s="2" t="inlineStr">
        <is>
          <t>captured</t>
        </is>
      </c>
      <c r="C81" s="2" t="n">
        <v>8688</v>
      </c>
      <c r="D81" s="2" t="n">
        <v>12</v>
      </c>
    </row>
    <row r="82">
      <c r="A82" s="2" t="n">
        <v>35</v>
      </c>
      <c r="B82" s="2" t="inlineStr">
        <is>
          <t>failed</t>
        </is>
      </c>
      <c r="C82" s="2" t="n">
        <v>598</v>
      </c>
      <c r="D82" s="2" t="n">
        <v>2</v>
      </c>
    </row>
    <row r="83">
      <c r="A83" s="2" t="n">
        <v>36</v>
      </c>
      <c r="B83" s="2" t="inlineStr">
        <is>
          <t>captured</t>
        </is>
      </c>
      <c r="C83" s="2" t="n">
        <v>11535</v>
      </c>
      <c r="D83" s="2" t="n">
        <v>15</v>
      </c>
    </row>
    <row r="84">
      <c r="A84" s="2" t="n">
        <v>36</v>
      </c>
      <c r="B84" s="2" t="inlineStr">
        <is>
          <t>chargeback</t>
        </is>
      </c>
      <c r="C84" s="2" t="n">
        <v>999</v>
      </c>
      <c r="D84" s="2" t="n">
        <v>1</v>
      </c>
    </row>
    <row r="85">
      <c r="A85" s="2" t="n">
        <v>37</v>
      </c>
      <c r="B85" s="2" t="inlineStr">
        <is>
          <t>captured</t>
        </is>
      </c>
      <c r="C85" s="2" t="n">
        <v>10833</v>
      </c>
      <c r="D85" s="2" t="n">
        <v>17</v>
      </c>
    </row>
    <row r="86">
      <c r="A86" s="2" t="n">
        <v>37</v>
      </c>
      <c r="B86" s="2" t="inlineStr">
        <is>
          <t>chargeback</t>
        </is>
      </c>
      <c r="C86" s="2" t="n">
        <v>1999</v>
      </c>
      <c r="D86" s="2" t="n">
        <v>1</v>
      </c>
    </row>
    <row r="87">
      <c r="A87" s="2" t="n">
        <v>37</v>
      </c>
      <c r="B87" s="2" t="inlineStr">
        <is>
          <t>failed</t>
        </is>
      </c>
      <c r="C87" s="2" t="n">
        <v>99</v>
      </c>
      <c r="D87" s="2" t="n">
        <v>1</v>
      </c>
    </row>
    <row r="88">
      <c r="A88" s="2" t="n">
        <v>38</v>
      </c>
      <c r="B88" s="2" t="inlineStr">
        <is>
          <t>captured</t>
        </is>
      </c>
      <c r="C88" s="2" t="n">
        <v>3342</v>
      </c>
      <c r="D88" s="2" t="n">
        <v>8</v>
      </c>
    </row>
    <row r="89">
      <c r="A89" s="2" t="n">
        <v>38</v>
      </c>
      <c r="B89" s="2" t="inlineStr">
        <is>
          <t>failed</t>
        </is>
      </c>
      <c r="C89" s="2" t="n">
        <v>598</v>
      </c>
      <c r="D89" s="2" t="n">
        <v>2</v>
      </c>
    </row>
    <row r="90">
      <c r="A90" s="2" t="n">
        <v>39</v>
      </c>
      <c r="B90" s="2" t="inlineStr">
        <is>
          <t>captured</t>
        </is>
      </c>
      <c r="C90" s="2" t="n">
        <v>11291</v>
      </c>
      <c r="D90" s="2" t="n">
        <v>9</v>
      </c>
    </row>
    <row r="91">
      <c r="A91" s="2" t="n">
        <v>39</v>
      </c>
      <c r="B91" s="2" t="inlineStr">
        <is>
          <t>chargeback</t>
        </is>
      </c>
      <c r="C91" s="2" t="n">
        <v>10997</v>
      </c>
      <c r="D91" s="2" t="n">
        <v>3</v>
      </c>
    </row>
    <row r="92">
      <c r="A92" s="2" t="n">
        <v>39</v>
      </c>
      <c r="B92" s="2" t="inlineStr">
        <is>
          <t>failed</t>
        </is>
      </c>
      <c r="C92" s="2" t="n">
        <v>399</v>
      </c>
      <c r="D92" s="2" t="n">
        <v>1</v>
      </c>
    </row>
    <row r="93">
      <c r="A93" s="2" t="n">
        <v>40</v>
      </c>
      <c r="B93" s="2" t="inlineStr">
        <is>
          <t>captured</t>
        </is>
      </c>
      <c r="C93" s="2" t="n">
        <v>3039</v>
      </c>
      <c r="D93" s="2" t="n">
        <v>11</v>
      </c>
    </row>
    <row r="94">
      <c r="A94" s="2" t="n">
        <v>40</v>
      </c>
      <c r="B94" s="2" t="inlineStr">
        <is>
          <t>chargeback</t>
        </is>
      </c>
      <c r="C94" s="2" t="n">
        <v>5148</v>
      </c>
      <c r="D94" s="2" t="n">
        <v>2</v>
      </c>
    </row>
    <row r="95">
      <c r="A95" s="2" t="n">
        <v>40</v>
      </c>
      <c r="B95" s="2" t="inlineStr">
        <is>
          <t>failed</t>
        </is>
      </c>
      <c r="C95" s="2" t="n">
        <v>548</v>
      </c>
      <c r="D95" s="2" t="n">
        <v>2</v>
      </c>
    </row>
    <row r="98">
      <c r="A98" s="3" t="inlineStr">
        <is>
          <t>Count vs Count-Unique Comparison (Top 10 Merchants)</t>
        </is>
      </c>
    </row>
    <row r="99">
      <c r="A99" s="1" t="inlineStr">
        <is>
          <t>merchant_id</t>
        </is>
      </c>
      <c r="B99" s="1" t="inlineStr">
        <is>
          <t>total_txn_count</t>
        </is>
      </c>
      <c r="C99" s="1" t="inlineStr">
        <is>
          <t>unique_days_transacted</t>
        </is>
      </c>
      <c r="D99" s="1" t="inlineStr">
        <is>
          <t>avg_txns_per_day</t>
        </is>
      </c>
    </row>
    <row r="100">
      <c r="A100" s="2" t="n">
        <v>16</v>
      </c>
      <c r="B100" s="2" t="n">
        <v>20</v>
      </c>
      <c r="C100" s="2" t="n">
        <v>15</v>
      </c>
      <c r="D100" s="2" t="n">
        <v>1.33</v>
      </c>
    </row>
    <row r="101">
      <c r="A101" s="2" t="n">
        <v>29</v>
      </c>
      <c r="B101" s="2" t="n">
        <v>19</v>
      </c>
      <c r="C101" s="2" t="n">
        <v>13</v>
      </c>
      <c r="D101" s="2" t="n">
        <v>1.46</v>
      </c>
    </row>
    <row r="102">
      <c r="A102" s="2" t="n">
        <v>37</v>
      </c>
      <c r="B102" s="2" t="n">
        <v>19</v>
      </c>
      <c r="C102" s="2" t="n">
        <v>16</v>
      </c>
      <c r="D102" s="2" t="n">
        <v>1.19</v>
      </c>
    </row>
    <row r="103">
      <c r="A103" s="2" t="n">
        <v>9</v>
      </c>
      <c r="B103" s="2" t="n">
        <v>18</v>
      </c>
      <c r="C103" s="2" t="n">
        <v>14</v>
      </c>
      <c r="D103" s="2" t="n">
        <v>1.29</v>
      </c>
    </row>
    <row r="104">
      <c r="A104" s="2" t="n">
        <v>3</v>
      </c>
      <c r="B104" s="2" t="n">
        <v>17</v>
      </c>
      <c r="C104" s="2" t="n">
        <v>13</v>
      </c>
      <c r="D104" s="2" t="n">
        <v>1.31</v>
      </c>
    </row>
    <row r="105">
      <c r="A105" s="2" t="n">
        <v>25</v>
      </c>
      <c r="B105" s="2" t="n">
        <v>17</v>
      </c>
      <c r="C105" s="2" t="n">
        <v>11</v>
      </c>
      <c r="D105" s="2" t="n">
        <v>1.55</v>
      </c>
    </row>
    <row r="106">
      <c r="A106" s="2" t="n">
        <v>30</v>
      </c>
      <c r="B106" s="2" t="n">
        <v>17</v>
      </c>
      <c r="C106" s="2" t="n">
        <v>13</v>
      </c>
      <c r="D106" s="2" t="n">
        <v>1.31</v>
      </c>
    </row>
    <row r="107">
      <c r="A107" s="2" t="n">
        <v>8</v>
      </c>
      <c r="B107" s="2" t="n">
        <v>16</v>
      </c>
      <c r="C107" s="2" t="n">
        <v>13</v>
      </c>
      <c r="D107" s="2" t="n">
        <v>1.23</v>
      </c>
    </row>
    <row r="108">
      <c r="A108" s="2" t="n">
        <v>36</v>
      </c>
      <c r="B108" s="2" t="n">
        <v>16</v>
      </c>
      <c r="C108" s="2" t="n">
        <v>12</v>
      </c>
      <c r="D108" s="2" t="n">
        <v>1.33</v>
      </c>
    </row>
    <row r="109">
      <c r="A109" s="2" t="n">
        <v>27</v>
      </c>
      <c r="B109" s="2" t="n">
        <v>16</v>
      </c>
      <c r="C109" s="2" t="n">
        <v>13</v>
      </c>
      <c r="D109" s="2" t="n">
        <v>1.23</v>
      </c>
    </row>
    <row r="112">
      <c r="A112" s="3" t="inlineStr">
        <is>
          <t>Merchants with Daily Total &gt; INR 5,000 (for IF/AND classification)</t>
        </is>
      </c>
    </row>
    <row r="113">
      <c r="A113" s="1" t="inlineStr">
        <is>
          <t>merchant_id</t>
        </is>
      </c>
      <c r="B113" s="1" t="inlineStr">
        <is>
          <t>txn_date</t>
        </is>
      </c>
      <c r="C113" s="1" t="inlineStr">
        <is>
          <t>daily_total_inr</t>
        </is>
      </c>
    </row>
    <row r="114">
      <c r="A114" s="2" t="n">
        <v>1</v>
      </c>
      <c r="B114" s="2" t="inlineStr">
        <is>
          <t>2026-01-09</t>
        </is>
      </c>
      <c r="C114" s="2" t="n">
        <v>5048</v>
      </c>
    </row>
    <row r="115">
      <c r="A115" s="2" t="n">
        <v>17</v>
      </c>
      <c r="B115" s="2" t="inlineStr">
        <is>
          <t>2026-01-11</t>
        </is>
      </c>
      <c r="C115" s="2" t="n">
        <v>7998</v>
      </c>
    </row>
    <row r="116">
      <c r="A116" s="2" t="n">
        <v>21</v>
      </c>
      <c r="B116" s="2" t="inlineStr">
        <is>
          <t>2026-01-01</t>
        </is>
      </c>
      <c r="C116" s="2" t="n">
        <v>5298</v>
      </c>
    </row>
    <row r="117">
      <c r="A117" s="2" t="n">
        <v>22</v>
      </c>
      <c r="B117" s="2" t="inlineStr">
        <is>
          <t>2026-01-13</t>
        </is>
      </c>
      <c r="C117" s="2" t="n">
        <v>5798</v>
      </c>
    </row>
    <row r="118">
      <c r="A118" s="2" t="n">
        <v>39</v>
      </c>
      <c r="B118" s="2" t="inlineStr">
        <is>
          <t>2026-01-22</t>
        </is>
      </c>
      <c r="C118" s="2" t="n">
        <v>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2026-08-31T19:54:39Z</dcterms:created>
  <dcterms:modified xsi:type="dcterms:W3CDTF">2026-08-31T19:54:40Z</dcterms:modified>
</cp:coreProperties>
</file>